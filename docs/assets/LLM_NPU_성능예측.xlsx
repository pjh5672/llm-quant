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결과" sheetId="1" state="visible" r:id="rId3"/>
    <sheet name="설정" sheetId="2" state="visible" r:id="rId4"/>
    <sheet name="모델" sheetId="3" state="visible" r:id="rId5"/>
    <sheet name="Expert 실측" sheetId="4" state="visible" r:id="rId6"/>
    <sheet name="계산_모델1" sheetId="5" state="visible" r:id="rId7"/>
    <sheet name="계산_모델2" sheetId="6" state="visible" r:id="rId8"/>
    <sheet name="계산_모델3" sheetId="7" state="visible" r:id="rId9"/>
    <sheet name="계산_모델4" sheetId="8" state="visible" r:id="rId10"/>
    <sheet name="계산_모델5" sheetId="9" state="visible" r:id="rId11"/>
    <sheet name="설명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<sst xmlns="http://schemas.openxmlformats.org/spreadsheetml/2006/main" count="1625" uniqueCount="429">
  <si>
    <r>
      <rPr>
        <b val="true"/>
        <sz val="14"/>
        <rFont val="Noto Sans CJK SC"/>
        <family val="2"/>
      </rPr>
      <t xml:space="preserve">결과 요약 — </t>
    </r>
    <r>
      <rPr>
        <b val="true"/>
        <sz val="14"/>
        <rFont val="Arial"/>
        <family val="0"/>
        <charset val="1"/>
      </rPr>
      <t xml:space="preserve">batch 1</t>
    </r>
  </si>
  <si>
    <t xml:space="preserve">경량화 설정</t>
  </si>
  <si>
    <t xml:space="preserve">HW</t>
  </si>
  <si>
    <t xml:space="preserve">디코드 컨텍스트</t>
  </si>
  <si>
    <r>
      <rPr>
        <sz val="11"/>
        <color theme="1"/>
        <rFont val="Noto Sans CJK SC"/>
        <family val="2"/>
      </rPr>
      <t xml:space="preserve">모델용 </t>
    </r>
    <r>
      <rPr>
        <sz val="11"/>
        <color theme="1"/>
        <rFont val="Arial"/>
        <family val="0"/>
        <charset val="1"/>
      </rPr>
      <t xml:space="preserve">DRAM (GiB)</t>
    </r>
  </si>
  <si>
    <t xml:space="preserve">모델 요약</t>
  </si>
  <si>
    <t xml:space="preserve">항목</t>
  </si>
  <si>
    <r>
      <rPr>
        <sz val="11"/>
        <color theme="1"/>
        <rFont val="Noto Sans CJK SC"/>
        <family val="2"/>
      </rPr>
      <t xml:space="preserve">총 파라미터 </t>
    </r>
    <r>
      <rPr>
        <sz val="11"/>
        <color theme="1"/>
        <rFont val="Arial"/>
        <family val="0"/>
        <charset val="1"/>
      </rPr>
      <t xml:space="preserve">(B)</t>
    </r>
  </si>
  <si>
    <r>
      <rPr>
        <sz val="11"/>
        <color theme="1"/>
        <rFont val="Noto Sans CJK SC"/>
        <family val="2"/>
      </rPr>
      <t xml:space="preserve">토큰당 활성 파라미터 </t>
    </r>
    <r>
      <rPr>
        <sz val="11"/>
        <color theme="1"/>
        <rFont val="Arial"/>
        <family val="0"/>
        <charset val="1"/>
      </rPr>
      <t xml:space="preserve">(B)</t>
    </r>
  </si>
  <si>
    <r>
      <rPr>
        <sz val="11"/>
        <color theme="1"/>
        <rFont val="Noto Sans CJK SC"/>
        <family val="2"/>
      </rPr>
      <t xml:space="preserve">경량화 후 가중치 </t>
    </r>
    <r>
      <rPr>
        <sz val="11"/>
        <color theme="1"/>
        <rFont val="Arial"/>
        <family val="0"/>
        <charset val="1"/>
      </rPr>
      <t xml:space="preserve">(GB)</t>
    </r>
  </si>
  <si>
    <r>
      <rPr>
        <sz val="11"/>
        <color theme="1"/>
        <rFont val="Arial"/>
        <family val="0"/>
        <charset val="1"/>
      </rPr>
      <t xml:space="preserve">KV/state </t>
    </r>
    <r>
      <rPr>
        <sz val="11"/>
        <color theme="1"/>
        <rFont val="Noto Sans CJK SC"/>
        <family val="2"/>
      </rPr>
      <t xml:space="preserve">캐시 </t>
    </r>
    <r>
      <rPr>
        <sz val="11"/>
        <color theme="1"/>
        <rFont val="Arial"/>
        <family val="0"/>
        <charset val="1"/>
      </rPr>
      <t xml:space="preserve">@ </t>
    </r>
    <r>
      <rPr>
        <sz val="11"/>
        <color theme="1"/>
        <rFont val="Noto Sans CJK SC"/>
        <family val="2"/>
      </rPr>
      <t xml:space="preserve">최대 길이 </t>
    </r>
    <r>
      <rPr>
        <sz val="11"/>
        <color theme="1"/>
        <rFont val="Arial"/>
        <family val="0"/>
        <charset val="1"/>
      </rPr>
      <t xml:space="preserve">(MB)</t>
    </r>
  </si>
  <si>
    <r>
      <rPr>
        <sz val="11"/>
        <color theme="1"/>
        <rFont val="Arial"/>
        <family val="0"/>
        <charset val="1"/>
      </rPr>
      <t xml:space="preserve">DRAM </t>
    </r>
    <r>
      <rPr>
        <sz val="11"/>
        <color theme="1"/>
        <rFont val="Noto Sans CJK SC"/>
        <family val="2"/>
      </rPr>
      <t xml:space="preserve">체크 </t>
    </r>
    <r>
      <rPr>
        <sz val="11"/>
        <color theme="1"/>
        <rFont val="Arial"/>
        <family val="0"/>
        <charset val="1"/>
      </rPr>
      <t xml:space="preserve">@ </t>
    </r>
    <r>
      <rPr>
        <sz val="11"/>
        <color theme="1"/>
        <rFont val="Noto Sans CJK SC"/>
        <family val="2"/>
      </rPr>
      <t xml:space="preserve">최대 입력</t>
    </r>
    <r>
      <rPr>
        <sz val="11"/>
        <color theme="1"/>
        <rFont val="Arial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출력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여유</t>
    </r>
    <r>
      <rPr>
        <sz val="11"/>
        <color theme="1"/>
        <rFont val="Arial"/>
        <family val="0"/>
        <charset val="1"/>
      </rPr>
      <t xml:space="preserve">+ / </t>
    </r>
    <r>
      <rPr>
        <sz val="11"/>
        <color theme="1"/>
        <rFont val="Noto Sans CJK SC"/>
        <family val="2"/>
      </rPr>
      <t xml:space="preserve">부족− </t>
    </r>
    <r>
      <rPr>
        <sz val="11"/>
        <color theme="1"/>
        <rFont val="Arial"/>
        <family val="0"/>
        <charset val="1"/>
      </rPr>
      <t xml:space="preserve">GiB)</t>
    </r>
  </si>
  <si>
    <r>
      <rPr>
        <b val="true"/>
        <sz val="11"/>
        <rFont val="Arial"/>
        <family val="0"/>
        <charset val="1"/>
      </rPr>
      <t xml:space="preserve">TTFT / </t>
    </r>
    <r>
      <rPr>
        <b val="true"/>
        <sz val="11"/>
        <rFont val="Noto Sans CJK SC"/>
        <family val="2"/>
      </rPr>
      <t xml:space="preserve">디코드 속도</t>
    </r>
  </si>
  <si>
    <t xml:space="preserve">입력 길이</t>
  </si>
  <si>
    <t xml:space="preserve">TTFT (ms)</t>
  </si>
  <si>
    <t xml:space="preserve">tok/s</t>
  </si>
  <si>
    <r>
      <rPr>
        <i val="true"/>
        <sz val="11"/>
        <color rgb="FF595959"/>
        <rFont val="Arial"/>
        <family val="0"/>
        <charset val="1"/>
      </rPr>
      <t xml:space="preserve">TTFT = </t>
    </r>
    <r>
      <rPr>
        <i val="true"/>
        <sz val="11"/>
        <color rgb="FF595959"/>
        <rFont val="Noto Sans CJK SC"/>
        <family val="2"/>
      </rPr>
      <t xml:space="preserve">프롬프트 전체 프리필 </t>
    </r>
    <r>
      <rPr>
        <i val="true"/>
        <sz val="11"/>
        <color rgb="FF595959"/>
        <rFont val="Arial"/>
        <family val="0"/>
        <charset val="1"/>
      </rPr>
      <t xml:space="preserve">+ </t>
    </r>
    <r>
      <rPr>
        <i val="true"/>
        <sz val="11"/>
        <color rgb="FF595959"/>
        <rFont val="Noto Sans CJK SC"/>
        <family val="2"/>
      </rPr>
      <t xml:space="preserve">첫 토큰 </t>
    </r>
    <r>
      <rPr>
        <i val="true"/>
        <sz val="11"/>
        <color rgb="FF595959"/>
        <rFont val="Arial"/>
        <family val="0"/>
        <charset val="1"/>
      </rPr>
      <t xml:space="preserve">LM head (top-k </t>
    </r>
    <r>
      <rPr>
        <i val="true"/>
        <sz val="11"/>
        <color rgb="FF595959"/>
        <rFont val="Noto Sans CJK SC"/>
        <family val="2"/>
      </rPr>
      <t xml:space="preserve">오버헤드 포함</t>
    </r>
    <r>
      <rPr>
        <i val="true"/>
        <sz val="11"/>
        <color rgb="FF595959"/>
        <rFont val="Arial"/>
        <family val="0"/>
        <charset val="1"/>
      </rPr>
      <t xml:space="preserve">). tok/s = </t>
    </r>
    <r>
      <rPr>
        <i val="true"/>
        <sz val="11"/>
        <color rgb="FF595959"/>
        <rFont val="Noto Sans CJK SC"/>
        <family val="2"/>
      </rPr>
      <t xml:space="preserve">위 컨텍스트 시점의 디코드 속도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</si>
  <si>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MoE top-k </t>
    </r>
    <r>
      <rPr>
        <b val="true"/>
        <sz val="11"/>
        <rFont val="Noto Sans CJK SC"/>
        <family val="2"/>
      </rPr>
      <t xml:space="preserve">오버헤드 </t>
    </r>
    <r>
      <rPr>
        <b val="true"/>
        <sz val="11"/>
        <rFont val="Arial"/>
        <family val="0"/>
        <charset val="1"/>
      </rPr>
      <t xml:space="preserve">(Dense </t>
    </r>
    <r>
      <rPr>
        <b val="true"/>
        <sz val="11"/>
        <rFont val="Noto Sans CJK SC"/>
        <family val="2"/>
      </rPr>
      <t xml:space="preserve">모델은 </t>
    </r>
    <r>
      <rPr>
        <b val="true"/>
        <sz val="11"/>
        <rFont val="Arial"/>
        <family val="0"/>
        <charset val="1"/>
      </rPr>
      <t xml:space="preserve">0)</t>
    </r>
  </si>
  <si>
    <r>
      <rPr>
        <b val="true"/>
        <sz val="11"/>
        <rFont val="Arial"/>
        <family val="0"/>
        <charset val="1"/>
      </rPr>
      <t xml:space="preserve">TTFT </t>
    </r>
    <r>
      <rPr>
        <b val="true"/>
        <sz val="11"/>
        <rFont val="Noto Sans CJK SC"/>
        <family val="2"/>
      </rPr>
      <t xml:space="preserve">중 </t>
    </r>
    <r>
      <rPr>
        <b val="true"/>
        <sz val="11"/>
        <rFont val="Arial"/>
        <family val="0"/>
        <charset val="1"/>
      </rPr>
      <t xml:space="preserve">(ms)</t>
    </r>
  </si>
  <si>
    <r>
      <rPr>
        <b val="true"/>
        <sz val="11"/>
        <rFont val="Noto Sans CJK SC"/>
        <family val="2"/>
      </rPr>
      <t xml:space="preserve">토큰당 </t>
    </r>
    <r>
      <rPr>
        <b val="true"/>
        <sz val="11"/>
        <rFont val="Arial"/>
        <family val="0"/>
        <charset val="1"/>
      </rPr>
      <t xml:space="preserve">(ms)</t>
    </r>
  </si>
  <si>
    <r>
      <rPr>
        <b val="true"/>
        <sz val="11"/>
        <rFont val="Arial"/>
        <family val="0"/>
        <charset val="1"/>
      </rPr>
      <t xml:space="preserve">Gated DeltaNet </t>
    </r>
    <r>
      <rPr>
        <b val="true"/>
        <sz val="11"/>
        <rFont val="Noto Sans CJK SC"/>
        <family val="2"/>
      </rPr>
      <t xml:space="preserve">코어 시간 </t>
    </r>
    <r>
      <rPr>
        <b val="true"/>
        <sz val="11"/>
        <rFont val="Arial"/>
        <family val="0"/>
        <charset val="1"/>
      </rPr>
      <t xml:space="preserve">(GDN </t>
    </r>
    <r>
      <rPr>
        <b val="true"/>
        <sz val="11"/>
        <rFont val="Noto Sans CJK SC"/>
        <family val="2"/>
      </rPr>
      <t xml:space="preserve">없는 모델은 </t>
    </r>
    <r>
      <rPr>
        <b val="true"/>
        <sz val="11"/>
        <rFont val="Arial"/>
        <family val="0"/>
        <charset val="1"/>
      </rPr>
      <t xml:space="preserve">0, </t>
    </r>
    <r>
      <rPr>
        <b val="true"/>
        <sz val="11"/>
        <rFont val="Noto Sans CJK SC"/>
        <family val="2"/>
      </rPr>
      <t xml:space="preserve">오버헤드 비율 적용 전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</si>
  <si>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프리필 </t>
    </r>
    <r>
      <rPr>
        <b val="true"/>
        <sz val="11"/>
        <rFont val="Arial"/>
        <family val="0"/>
        <charset val="1"/>
      </rPr>
      <t xml:space="preserve">(ms)</t>
    </r>
  </si>
  <si>
    <r>
      <rPr>
        <b val="true"/>
        <sz val="11"/>
        <rFont val="Noto Sans CJK SC"/>
        <family val="2"/>
      </rPr>
      <t xml:space="preserve">응답 완료 시간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필요 </t>
    </r>
    <r>
      <rPr>
        <b val="true"/>
        <sz val="11"/>
        <rFont val="Arial"/>
        <family val="0"/>
        <charset val="1"/>
      </rPr>
      <t xml:space="preserve">DRAM (</t>
    </r>
    <r>
      <rPr>
        <b val="true"/>
        <sz val="11"/>
        <rFont val="Noto Sans CJK SC"/>
        <family val="2"/>
      </rPr>
      <t xml:space="preserve">출력 토큰 수는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설정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기준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빨간 칸 </t>
    </r>
    <r>
      <rPr>
        <b val="true"/>
        <sz val="11"/>
        <rFont val="Arial"/>
        <family val="0"/>
        <charset val="1"/>
      </rPr>
      <t xml:space="preserve">= DRAM </t>
    </r>
    <r>
      <rPr>
        <b val="true"/>
        <sz val="11"/>
        <rFont val="Noto Sans CJK SC"/>
        <family val="2"/>
      </rPr>
      <t xml:space="preserve">용량 초과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</si>
  <si>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응답 완료 </t>
    </r>
    <r>
      <rPr>
        <b val="true"/>
        <sz val="11"/>
        <rFont val="Arial"/>
        <family val="0"/>
        <charset val="1"/>
      </rPr>
      <t xml:space="preserve">(s)</t>
    </r>
  </si>
  <si>
    <r>
      <rPr>
        <b val="true"/>
        <sz val="11"/>
        <rFont val="Noto Sans CJK SC"/>
        <family val="2"/>
      </rPr>
      <t xml:space="preserve">필요 </t>
    </r>
    <r>
      <rPr>
        <b val="true"/>
        <sz val="11"/>
        <rFont val="Arial"/>
        <family val="0"/>
        <charset val="1"/>
      </rPr>
      <t xml:space="preserve">DRAM (GiB)</t>
    </r>
  </si>
  <si>
    <r>
      <rPr>
        <b val="true"/>
        <sz val="14"/>
        <rFont val="Arial"/>
        <family val="0"/>
        <charset val="1"/>
      </rPr>
      <t xml:space="preserve">LLM NPU </t>
    </r>
    <r>
      <rPr>
        <b val="true"/>
        <sz val="14"/>
        <rFont val="Noto Sans CJK SC"/>
        <family val="2"/>
      </rPr>
      <t xml:space="preserve">성능 예측 계산기 — 설정</t>
    </r>
  </si>
  <si>
    <r>
      <rPr>
        <i val="true"/>
        <sz val="11"/>
        <color rgb="FF595959"/>
        <rFont val="Noto Sans CJK SC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파란 글씨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이 입력값입니다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들어 있는 숫자는 계산이 돌아가도록 넣은 예시값이니 실제 </t>
    </r>
    <r>
      <rPr>
        <i val="true"/>
        <sz val="11"/>
        <color rgb="FF595959"/>
        <rFont val="Arial"/>
        <family val="0"/>
        <charset val="1"/>
      </rPr>
      <t xml:space="preserve">NPU/</t>
    </r>
    <r>
      <rPr>
        <i val="true"/>
        <sz val="11"/>
        <color rgb="FF595959"/>
        <rFont val="Noto Sans CJK SC"/>
        <family val="2"/>
      </rPr>
      <t xml:space="preserve">경량화 값으로 바꿔 주세요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</si>
  <si>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하드웨어 </t>
    </r>
    <r>
      <rPr>
        <b val="true"/>
        <sz val="11"/>
        <color rgb="FFFFFFFF"/>
        <rFont val="Arial"/>
        <family val="0"/>
        <charset val="1"/>
      </rPr>
      <t xml:space="preserve">(NPU) — </t>
    </r>
    <r>
      <rPr>
        <b val="true"/>
        <sz val="11"/>
        <color rgb="FFFFFFFF"/>
        <rFont val="Noto Sans CJK SC"/>
        <family val="2"/>
      </rPr>
      <t xml:space="preserve">직접 입력</t>
    </r>
  </si>
  <si>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대역폭</t>
    </r>
  </si>
  <si>
    <t xml:space="preserve">GB/s</t>
  </si>
  <si>
    <t xml:space="preserve">예시값</t>
  </si>
  <si>
    <t xml:space="preserve">대역폭 실효율</t>
  </si>
  <si>
    <t xml:space="preserve">피크 대비 실제 활용 비율</t>
  </si>
  <si>
    <t xml:space="preserve">연산 실효율</t>
  </si>
  <si>
    <r>
      <rPr>
        <sz val="11"/>
        <color rgb="FF595959"/>
        <rFont val="Noto Sans CJK SC"/>
        <family val="2"/>
      </rPr>
      <t xml:space="preserve">피크 </t>
    </r>
    <r>
      <rPr>
        <sz val="11"/>
        <color rgb="FF595959"/>
        <rFont val="Arial"/>
        <family val="0"/>
        <charset val="1"/>
      </rPr>
      <t xml:space="preserve">TOPS </t>
    </r>
    <r>
      <rPr>
        <sz val="11"/>
        <color rgb="FF595959"/>
        <rFont val="Noto Sans CJK SC"/>
        <family val="2"/>
      </rPr>
      <t xml:space="preserve">대비 실제 활용 비율 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아래 모든 </t>
    </r>
    <r>
      <rPr>
        <sz val="11"/>
        <color rgb="FF595959"/>
        <rFont val="Arial"/>
        <family val="0"/>
        <charset val="1"/>
      </rPr>
      <t xml:space="preserve">TOPS</t>
    </r>
    <r>
      <rPr>
        <sz val="11"/>
        <color rgb="FF595959"/>
        <rFont val="Noto Sans CJK SC"/>
        <family val="2"/>
      </rPr>
      <t xml:space="preserve">에 적용</t>
    </r>
    <r>
      <rPr>
        <sz val="11"/>
        <color rgb="FF595959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</si>
  <si>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Gated DeltaNet </t>
    </r>
    <r>
      <rPr>
        <sz val="11"/>
        <rFont val="Noto Sans CJK SC"/>
        <family val="2"/>
      </rPr>
      <t xml:space="preserve">코어 피크 </t>
    </r>
    <r>
      <rPr>
        <sz val="11"/>
        <rFont val="Arial"/>
        <family val="0"/>
        <charset val="1"/>
      </rPr>
      <t xml:space="preserve">TOPS</t>
    </r>
  </si>
  <si>
    <t xml:space="preserve">TOPS</t>
  </si>
  <si>
    <r>
      <rPr>
        <sz val="11"/>
        <color rgb="FF595959"/>
        <rFont val="Arial"/>
        <family val="0"/>
        <charset val="1"/>
      </rPr>
      <t xml:space="preserve">linear attention </t>
    </r>
    <r>
      <rPr>
        <sz val="11"/>
        <color rgb="FF595959"/>
        <rFont val="Noto Sans CJK SC"/>
        <family val="2"/>
      </rPr>
      <t xml:space="preserve">코어</t>
    </r>
    <r>
      <rPr>
        <sz val="11"/>
        <color rgb="FF595959"/>
        <rFont val="Arial"/>
        <family val="0"/>
        <charset val="1"/>
      </rPr>
      <t xml:space="preserve">(chunk </t>
    </r>
    <r>
      <rPr>
        <sz val="11"/>
        <color rgb="FF595959"/>
        <rFont val="Noto Sans CJK SC"/>
        <family val="2"/>
      </rPr>
      <t xml:space="preserve">행렬곱</t>
    </r>
    <r>
      <rPr>
        <sz val="11"/>
        <color rgb="FF595959"/>
        <rFont val="Arial"/>
        <family val="0"/>
        <charset val="1"/>
      </rPr>
      <t xml:space="preserve">, state </t>
    </r>
    <r>
      <rPr>
        <sz val="11"/>
        <color rgb="FF595959"/>
        <rFont val="Noto Sans CJK SC"/>
        <family val="2"/>
      </rPr>
      <t xml:space="preserve">갱신</t>
    </r>
    <r>
      <rPr>
        <sz val="11"/>
        <color rgb="FF595959"/>
        <rFont val="Arial"/>
        <family val="0"/>
        <charset val="1"/>
      </rPr>
      <t xml:space="preserve">). fp16 MAC </t>
    </r>
    <r>
      <rPr>
        <sz val="11"/>
        <color rgb="FF595959"/>
        <rFont val="Noto Sans CJK SC"/>
        <family val="2"/>
      </rPr>
      <t xml:space="preserve">또는 </t>
    </r>
    <r>
      <rPr>
        <sz val="11"/>
        <color rgb="FF595959"/>
        <rFont val="Arial"/>
        <family val="0"/>
        <charset val="1"/>
      </rPr>
      <t xml:space="preserve">vector unit </t>
    </r>
    <r>
      <rPr>
        <sz val="11"/>
        <color rgb="FF595959"/>
        <rFont val="Noto Sans CJK SC"/>
        <family val="2"/>
      </rPr>
      <t xml:space="preserve">성능을 입력</t>
    </r>
  </si>
  <si>
    <t xml:space="preserve">On-chip SRAM</t>
  </si>
  <si>
    <t xml:space="preserve">MB</t>
  </si>
  <si>
    <r>
      <rPr>
        <sz val="11"/>
        <rFont val="Arial"/>
        <family val="0"/>
        <charset val="1"/>
      </rPr>
      <t xml:space="preserve">SRAM </t>
    </r>
    <r>
      <rPr>
        <sz val="11"/>
        <rFont val="Noto Sans CJK SC"/>
        <family val="2"/>
      </rPr>
      <t xml:space="preserve">중 타일링 가용 비율</t>
    </r>
  </si>
  <si>
    <r>
      <rPr>
        <sz val="11"/>
        <color rgb="FF595959"/>
        <rFont val="Noto Sans CJK SC"/>
        <family val="2"/>
      </rPr>
      <t xml:space="preserve">가용분을 입력 타일</t>
    </r>
    <r>
      <rPr>
        <sz val="11"/>
        <color rgb="FF595959"/>
        <rFont val="Arial"/>
        <family val="0"/>
        <charset val="1"/>
      </rPr>
      <t xml:space="preserve">/</t>
    </r>
    <r>
      <rPr>
        <sz val="11"/>
        <color rgb="FF595959"/>
        <rFont val="Noto Sans CJK SC"/>
        <family val="2"/>
      </rPr>
      <t xml:space="preserve">가중치 타일에 반씩 배분</t>
    </r>
  </si>
  <si>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용량</t>
    </r>
  </si>
  <si>
    <t xml:space="preserve">GiB</t>
  </si>
  <si>
    <r>
      <rPr>
        <sz val="11"/>
        <color rgb="FF595959"/>
        <rFont val="Noto Sans CJK SC"/>
        <family val="2"/>
      </rPr>
      <t xml:space="preserve">제품 표기 용량 </t>
    </r>
    <r>
      <rPr>
        <sz val="11"/>
        <color rgb="FF595959"/>
        <rFont val="Arial"/>
        <family val="0"/>
        <charset val="1"/>
      </rPr>
      <t xml:space="preserve">(1 GiB = 2^30 B). </t>
    </r>
    <r>
      <rPr>
        <sz val="11"/>
        <color rgb="FF595959"/>
        <rFont val="Noto Sans CJK SC"/>
        <family val="2"/>
      </rPr>
      <t xml:space="preserve">예시값</t>
    </r>
  </si>
  <si>
    <r>
      <rPr>
        <sz val="11"/>
        <rFont val="Arial"/>
        <family val="0"/>
        <charset val="1"/>
      </rPr>
      <t xml:space="preserve">OS/</t>
    </r>
    <r>
      <rPr>
        <sz val="11"/>
        <rFont val="Noto Sans CJK SC"/>
        <family val="2"/>
      </rPr>
      <t xml:space="preserve">런타임 예약 용량</t>
    </r>
  </si>
  <si>
    <r>
      <rPr>
        <sz val="11"/>
        <color rgb="FF595959"/>
        <rFont val="Arial"/>
        <family val="0"/>
        <charset val="1"/>
      </rPr>
      <t xml:space="preserve">OS, </t>
    </r>
    <r>
      <rPr>
        <sz val="11"/>
        <color rgb="FF595959"/>
        <rFont val="Noto Sans CJK SC"/>
        <family val="2"/>
      </rPr>
      <t xml:space="preserve">다른 앱</t>
    </r>
    <r>
      <rPr>
        <sz val="11"/>
        <color rgb="FF595959"/>
        <rFont val="Arial"/>
        <family val="0"/>
        <charset val="1"/>
      </rPr>
      <t xml:space="preserve">, NPU </t>
    </r>
    <r>
      <rPr>
        <sz val="11"/>
        <color rgb="FF595959"/>
        <rFont val="Noto Sans CJK SC"/>
        <family val="2"/>
      </rPr>
      <t xml:space="preserve">런타임</t>
    </r>
    <r>
      <rPr>
        <sz val="11"/>
        <color rgb="FF595959"/>
        <rFont val="Arial"/>
        <family val="0"/>
        <charset val="1"/>
      </rPr>
      <t xml:space="preserve">, </t>
    </r>
    <r>
      <rPr>
        <sz val="11"/>
        <color rgb="FF595959"/>
        <rFont val="Noto Sans CJK SC"/>
        <family val="2"/>
      </rPr>
      <t xml:space="preserve">펌웨어 등이 쓰는 몫</t>
    </r>
  </si>
  <si>
    <r>
      <rPr>
        <sz val="11"/>
        <rFont val="Noto Sans CJK SC"/>
        <family val="2"/>
      </rPr>
      <t xml:space="preserve">작업 버퍼 </t>
    </r>
    <r>
      <rPr>
        <sz val="11"/>
        <rFont val="Arial"/>
        <family val="0"/>
        <charset val="1"/>
      </rPr>
      <t xml:space="preserve">(activation, </t>
    </r>
    <r>
      <rPr>
        <sz val="11"/>
        <rFont val="Noto Sans CJK SC"/>
        <family val="2"/>
      </rPr>
      <t xml:space="preserve">임시 텐서</t>
    </r>
    <r>
      <rPr>
        <sz val="11"/>
        <rFont val="Arial"/>
        <family val="0"/>
        <charset val="1"/>
      </rPr>
      <t xml:space="preserve">)</t>
    </r>
  </si>
  <si>
    <t xml:space="preserve">모델 실행 중 중간 결과용</t>
  </si>
  <si>
    <t xml:space="preserve">기타 연산 오버헤드</t>
  </si>
  <si>
    <r>
      <rPr>
        <sz val="11"/>
        <color rgb="FF595959"/>
        <rFont val="Arial"/>
        <family val="0"/>
        <charset val="1"/>
      </rPr>
      <t xml:space="preserve">Norm, RoPE, softmax, </t>
    </r>
    <r>
      <rPr>
        <sz val="11"/>
        <color rgb="FF595959"/>
        <rFont val="Noto Sans CJK SC"/>
        <family val="2"/>
      </rPr>
      <t xml:space="preserve">활성화 함수</t>
    </r>
    <r>
      <rPr>
        <sz val="11"/>
        <color rgb="FF595959"/>
        <rFont val="Arial"/>
        <family val="0"/>
        <charset val="1"/>
      </rPr>
      <t xml:space="preserve">, residual, conv1d </t>
    </r>
    <r>
      <rPr>
        <sz val="11"/>
        <color rgb="FF595959"/>
        <rFont val="Noto Sans CJK SC"/>
        <family val="2"/>
      </rPr>
      <t xml:space="preserve">등</t>
    </r>
    <r>
      <rPr>
        <sz val="11"/>
        <color rgb="FF595959"/>
        <rFont val="Arial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선형층</t>
    </r>
    <r>
      <rPr>
        <sz val="11"/>
        <color rgb="FF595959"/>
        <rFont val="Arial"/>
        <family val="0"/>
        <charset val="1"/>
      </rPr>
      <t xml:space="preserve">+</t>
    </r>
    <r>
      <rPr>
        <sz val="11"/>
        <color rgb="FF595959"/>
        <rFont val="Noto Sans CJK SC"/>
        <family val="2"/>
      </rPr>
      <t xml:space="preserve">어텐션 시간에 곱해짐</t>
    </r>
  </si>
  <si>
    <t xml:space="preserve">프리필 고정 지연</t>
  </si>
  <si>
    <t xml:space="preserve">ms</t>
  </si>
  <si>
    <r>
      <rPr>
        <sz val="11"/>
        <color rgb="FF595959"/>
        <rFont val="Noto Sans CJK SC"/>
        <family val="2"/>
      </rPr>
      <t xml:space="preserve">런타임</t>
    </r>
    <r>
      <rPr>
        <sz val="11"/>
        <color rgb="FF595959"/>
        <rFont val="Arial"/>
        <family val="0"/>
        <charset val="1"/>
      </rPr>
      <t xml:space="preserve">/</t>
    </r>
    <r>
      <rPr>
        <sz val="11"/>
        <color rgb="FF595959"/>
        <rFont val="Noto Sans CJK SC"/>
        <family val="2"/>
      </rPr>
      <t xml:space="preserve">디스패치 등</t>
    </r>
  </si>
  <si>
    <t xml:space="preserve">디코드 토큰당 고정 지연</t>
  </si>
  <si>
    <r>
      <rPr>
        <b val="true"/>
        <sz val="11"/>
        <rFont val="Noto Sans CJK SC"/>
        <family val="2"/>
      </rPr>
      <t xml:space="preserve">피크 </t>
    </r>
    <r>
      <rPr>
        <b val="true"/>
        <sz val="11"/>
        <rFont val="Arial"/>
        <family val="0"/>
        <charset val="1"/>
      </rPr>
      <t xml:space="preserve">TOPS </t>
    </r>
    <r>
      <rPr>
        <b val="true"/>
        <sz val="11"/>
        <rFont val="Noto Sans CJK SC"/>
        <family val="2"/>
      </rPr>
      <t xml:space="preserve">표 </t>
    </r>
    <r>
      <rPr>
        <b val="true"/>
        <sz val="11"/>
        <rFont val="Arial"/>
        <family val="0"/>
        <charset val="1"/>
      </rPr>
      <t xml:space="preserve">(Weight bit × Activation bit)</t>
    </r>
  </si>
  <si>
    <r>
      <rPr>
        <sz val="11"/>
        <color rgb="FF595959"/>
        <rFont val="Arial"/>
        <family val="0"/>
        <charset val="1"/>
      </rPr>
      <t xml:space="preserve">1 MAC = 2 ops </t>
    </r>
    <r>
      <rPr>
        <sz val="11"/>
        <color rgb="FF595959"/>
        <rFont val="Noto Sans CJK SC"/>
        <family val="2"/>
      </rPr>
      <t xml:space="preserve">기준</t>
    </r>
    <r>
      <rPr>
        <sz val="11"/>
        <color rgb="FF595959"/>
        <rFont val="Arial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어텐션</t>
    </r>
    <r>
      <rPr>
        <sz val="11"/>
        <color rgb="FF595959"/>
        <rFont val="Arial"/>
        <family val="0"/>
        <charset val="1"/>
      </rPr>
      <t xml:space="preserve">(QK·PV)</t>
    </r>
    <r>
      <rPr>
        <sz val="11"/>
        <color rgb="FF595959"/>
        <rFont val="Noto Sans CJK SC"/>
        <family val="2"/>
      </rPr>
      <t xml:space="preserve">은 </t>
    </r>
    <r>
      <rPr>
        <sz val="11"/>
        <color rgb="FF595959"/>
        <rFont val="Arial"/>
        <family val="0"/>
        <charset val="1"/>
      </rPr>
      <t xml:space="preserve">KV bit</t>
    </r>
    <r>
      <rPr>
        <sz val="11"/>
        <color rgb="FF595959"/>
        <rFont val="Noto Sans CJK SC"/>
        <family val="2"/>
      </rPr>
      <t xml:space="preserve">를 </t>
    </r>
    <r>
      <rPr>
        <sz val="11"/>
        <color rgb="FF595959"/>
        <rFont val="Arial"/>
        <family val="0"/>
        <charset val="1"/>
      </rPr>
      <t xml:space="preserve">Weight bit </t>
    </r>
    <r>
      <rPr>
        <sz val="11"/>
        <color rgb="FF595959"/>
        <rFont val="Noto Sans CJK SC"/>
        <family val="2"/>
      </rPr>
      <t xml:space="preserve">자리에 넣어 조회</t>
    </r>
  </si>
  <si>
    <r>
      <rPr>
        <b val="true"/>
        <sz val="11"/>
        <rFont val="Arial"/>
        <family val="0"/>
        <charset val="1"/>
      </rPr>
      <t xml:space="preserve">Weight bit </t>
    </r>
    <r>
      <rPr>
        <b val="true"/>
        <sz val="11"/>
        <rFont val="Noto Sans CJK SC"/>
        <family val="2"/>
      </rPr>
      <t xml:space="preserve">＼ </t>
    </r>
    <r>
      <rPr>
        <b val="true"/>
        <sz val="11"/>
        <rFont val="Arial"/>
        <family val="0"/>
        <charset val="1"/>
      </rPr>
      <t xml:space="preserve">Activation bit</t>
    </r>
  </si>
  <si>
    <r>
      <rPr>
        <i val="true"/>
        <sz val="11"/>
        <color rgb="FF595959"/>
        <rFont val="Noto Sans CJK SC"/>
        <family val="2"/>
      </rPr>
      <t xml:space="preserve">표에 없는 </t>
    </r>
    <r>
      <rPr>
        <i val="true"/>
        <sz val="11"/>
        <color rgb="FF595959"/>
        <rFont val="Arial"/>
        <family val="0"/>
        <charset val="1"/>
      </rPr>
      <t xml:space="preserve">bit</t>
    </r>
    <r>
      <rPr>
        <i val="true"/>
        <sz val="11"/>
        <color rgb="FF595959"/>
        <rFont val="Noto Sans CJK SC"/>
        <family val="2"/>
      </rPr>
      <t xml:space="preserve">는 그보다 작은 값 중 가장 가까운 행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열을 사용합니다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예</t>
    </r>
    <r>
      <rPr>
        <i val="true"/>
        <sz val="11"/>
        <color rgb="FF595959"/>
        <rFont val="Arial"/>
        <family val="0"/>
        <charset val="1"/>
      </rPr>
      <t xml:space="preserve">: W6 → W4 </t>
    </r>
    <r>
      <rPr>
        <i val="true"/>
        <sz val="11"/>
        <color rgb="FF595959"/>
        <rFont val="Noto Sans CJK SC"/>
        <family val="2"/>
      </rPr>
      <t xml:space="preserve">행</t>
    </r>
    <r>
      <rPr>
        <i val="true"/>
        <sz val="11"/>
        <color rgb="FF595959"/>
        <rFont val="Arial"/>
        <family val="0"/>
        <charset val="1"/>
      </rPr>
      <t xml:space="preserve">).</t>
    </r>
  </si>
  <si>
    <t xml:space="preserve">경량화 — 직접 입력</t>
  </si>
  <si>
    <t xml:space="preserve">구분</t>
  </si>
  <si>
    <t xml:space="preserve">Weight bit</t>
  </si>
  <si>
    <r>
      <rPr>
        <b val="true"/>
        <sz val="11"/>
        <rFont val="Arial"/>
        <family val="0"/>
        <charset val="1"/>
      </rPr>
      <t xml:space="preserve">Group </t>
    </r>
    <r>
      <rPr>
        <b val="true"/>
        <sz val="11"/>
        <rFont val="Noto Sans CJK SC"/>
        <family val="2"/>
      </rPr>
      <t xml:space="preserve">크기</t>
    </r>
  </si>
  <si>
    <t xml:space="preserve">Scale bit</t>
  </si>
  <si>
    <r>
      <rPr>
        <b val="true"/>
        <sz val="11"/>
        <rFont val="Noto Sans CJK SC"/>
        <family val="2"/>
      </rPr>
      <t xml:space="preserve">적용 대상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설명</t>
    </r>
  </si>
  <si>
    <t xml:space="preserve">Attention</t>
  </si>
  <si>
    <r>
      <rPr>
        <sz val="11"/>
        <color rgb="FF595959"/>
        <rFont val="Arial"/>
        <family val="0"/>
        <charset val="1"/>
      </rPr>
      <t xml:space="preserve">full/sliding attention</t>
    </r>
    <r>
      <rPr>
        <sz val="11"/>
        <color rgb="FF595959"/>
        <rFont val="Noto Sans CJK SC"/>
        <family val="2"/>
      </rPr>
      <t xml:space="preserve">의 </t>
    </r>
    <r>
      <rPr>
        <sz val="11"/>
        <color rgb="FF595959"/>
        <rFont val="Arial"/>
        <family val="0"/>
        <charset val="1"/>
      </rPr>
      <t xml:space="preserve">q/k/v/o_proj</t>
    </r>
  </si>
  <si>
    <t xml:space="preserve">Linear attn (GDN)</t>
  </si>
  <si>
    <r>
      <rPr>
        <sz val="11"/>
        <color rgb="FF595959"/>
        <rFont val="Arial"/>
        <family val="0"/>
        <charset val="1"/>
      </rPr>
      <t xml:space="preserve">Gated DeltaNet</t>
    </r>
    <r>
      <rPr>
        <sz val="11"/>
        <color rgb="FF595959"/>
        <rFont val="Noto Sans CJK SC"/>
        <family val="2"/>
      </rPr>
      <t xml:space="preserve">의 </t>
    </r>
    <r>
      <rPr>
        <sz val="11"/>
        <color rgb="FF595959"/>
        <rFont val="Arial"/>
        <family val="0"/>
        <charset val="1"/>
      </rPr>
      <t xml:space="preserve">in_proj_qkv/z/a/b, out_proj</t>
    </r>
  </si>
  <si>
    <t xml:space="preserve">FFN / Expert</t>
  </si>
  <si>
    <r>
      <rPr>
        <sz val="11"/>
        <color rgb="FF595959"/>
        <rFont val="Arial"/>
        <family val="0"/>
        <charset val="1"/>
      </rPr>
      <t xml:space="preserve">dense MLP, shared expert, routed expert</t>
    </r>
    <r>
      <rPr>
        <sz val="11"/>
        <color rgb="FF595959"/>
        <rFont val="Noto Sans CJK SC"/>
        <family val="2"/>
      </rPr>
      <t xml:space="preserve">의 </t>
    </r>
    <r>
      <rPr>
        <sz val="11"/>
        <color rgb="FF595959"/>
        <rFont val="Arial"/>
        <family val="0"/>
        <charset val="1"/>
      </rPr>
      <t xml:space="preserve">gate/up/down</t>
    </r>
  </si>
  <si>
    <t xml:space="preserve">Router (MoE)</t>
  </si>
  <si>
    <r>
      <rPr>
        <sz val="11"/>
        <color rgb="FF595959"/>
        <rFont val="Arial"/>
        <family val="0"/>
        <charset val="1"/>
      </rPr>
      <t xml:space="preserve">MoE gate. Dense </t>
    </r>
    <r>
      <rPr>
        <sz val="11"/>
        <color rgb="FF595959"/>
        <rFont val="Noto Sans CJK SC"/>
        <family val="2"/>
      </rPr>
      <t xml:space="preserve">모델에는 영향 없음</t>
    </r>
  </si>
  <si>
    <t xml:space="preserve">LM head</t>
  </si>
  <si>
    <r>
      <rPr>
        <sz val="11"/>
        <color rgb="FF595959"/>
        <rFont val="Noto Sans CJK SC"/>
        <family val="2"/>
      </rPr>
      <t xml:space="preserve">출력 </t>
    </r>
    <r>
      <rPr>
        <sz val="11"/>
        <color rgb="FF595959"/>
        <rFont val="Arial"/>
        <family val="0"/>
        <charset val="1"/>
      </rPr>
      <t xml:space="preserve">projection</t>
    </r>
  </si>
  <si>
    <t xml:space="preserve">Embedding</t>
  </si>
  <si>
    <r>
      <rPr>
        <sz val="11"/>
        <color rgb="FF595959"/>
        <rFont val="Arial"/>
        <family val="0"/>
        <charset val="1"/>
      </rPr>
      <t xml:space="preserve">lookup</t>
    </r>
    <r>
      <rPr>
        <sz val="11"/>
        <color rgb="FF595959"/>
        <rFont val="Noto Sans CJK SC"/>
        <family val="2"/>
      </rPr>
      <t xml:space="preserve">만 하므로 저장 용량에만 반영</t>
    </r>
  </si>
  <si>
    <r>
      <rPr>
        <i val="true"/>
        <sz val="11"/>
        <color rgb="FF595959"/>
        <rFont val="Arial"/>
        <family val="0"/>
        <charset val="1"/>
      </rPr>
      <t xml:space="preserve">Group </t>
    </r>
    <r>
      <rPr>
        <i val="true"/>
        <sz val="11"/>
        <color rgb="FF595959"/>
        <rFont val="Noto Sans CJK SC"/>
        <family val="2"/>
      </rPr>
      <t xml:space="preserve">크기 </t>
    </r>
    <r>
      <rPr>
        <i val="true"/>
        <sz val="11"/>
        <color rgb="FF595959"/>
        <rFont val="Arial"/>
        <family val="0"/>
        <charset val="1"/>
      </rPr>
      <t xml:space="preserve">0 = per-channel (</t>
    </r>
    <r>
      <rPr>
        <i val="true"/>
        <sz val="11"/>
        <color rgb="FF595959"/>
        <rFont val="Noto Sans CJK SC"/>
        <family val="2"/>
      </rPr>
      <t xml:space="preserve">출력 채널마다 </t>
    </r>
    <r>
      <rPr>
        <i val="true"/>
        <sz val="11"/>
        <color rgb="FF595959"/>
        <rFont val="Arial"/>
        <family val="0"/>
        <charset val="1"/>
      </rPr>
      <t xml:space="preserve">scale 1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). Weight bit 16 = </t>
    </r>
    <r>
      <rPr>
        <i val="true"/>
        <sz val="11"/>
        <color rgb="FF595959"/>
        <rFont val="Noto Sans CJK SC"/>
        <family val="2"/>
      </rPr>
      <t xml:space="preserve">경량화 안 함 </t>
    </r>
    <r>
      <rPr>
        <i val="true"/>
        <sz val="11"/>
        <color rgb="FF595959"/>
        <rFont val="Arial"/>
        <family val="0"/>
        <charset val="1"/>
      </rPr>
      <t xml:space="preserve">(scale </t>
    </r>
    <r>
      <rPr>
        <i val="true"/>
        <sz val="11"/>
        <color rgb="FF595959"/>
        <rFont val="Noto Sans CJK SC"/>
        <family val="2"/>
      </rPr>
      <t xml:space="preserve">무시하려면 </t>
    </r>
    <r>
      <rPr>
        <i val="true"/>
        <sz val="11"/>
        <color rgb="FF595959"/>
        <rFont val="Arial"/>
        <family val="0"/>
        <charset val="1"/>
      </rPr>
      <t xml:space="preserve">Scale bit 0).</t>
    </r>
  </si>
  <si>
    <t xml:space="preserve">Activation bit</t>
  </si>
  <si>
    <t xml:space="preserve">bit</t>
  </si>
  <si>
    <r>
      <rPr>
        <sz val="11"/>
        <color rgb="FF595959"/>
        <rFont val="Arial"/>
        <family val="0"/>
        <charset val="1"/>
      </rPr>
      <t xml:space="preserve">8 </t>
    </r>
    <r>
      <rPr>
        <sz val="11"/>
        <color rgb="FF595959"/>
        <rFont val="Noto Sans CJK SC"/>
        <family val="2"/>
      </rPr>
      <t xml:space="preserve">또는 </t>
    </r>
    <r>
      <rPr>
        <sz val="11"/>
        <color rgb="FF595959"/>
        <rFont val="Arial"/>
        <family val="0"/>
        <charset val="1"/>
      </rPr>
      <t xml:space="preserve">16</t>
    </r>
  </si>
  <si>
    <t xml:space="preserve">KV cache bit</t>
  </si>
  <si>
    <t xml:space="preserve">GDN recurrent state bit</t>
  </si>
  <si>
    <r>
      <rPr>
        <sz val="11"/>
        <color rgb="FF595959"/>
        <rFont val="Arial"/>
        <family val="0"/>
        <charset val="1"/>
      </rPr>
      <t xml:space="preserve">Qwen3.6 config</t>
    </r>
    <r>
      <rPr>
        <sz val="11"/>
        <color rgb="FF595959"/>
        <rFont val="Noto Sans CJK SC"/>
        <family val="2"/>
      </rPr>
      <t xml:space="preserve">의 </t>
    </r>
    <r>
      <rPr>
        <sz val="11"/>
        <color rgb="FF595959"/>
        <rFont val="Arial"/>
        <family val="0"/>
        <charset val="1"/>
      </rPr>
      <t xml:space="preserve">mamba_ssm_dtype = float32. fp16</t>
    </r>
    <r>
      <rPr>
        <sz val="11"/>
        <color rgb="FF595959"/>
        <rFont val="Noto Sans CJK SC"/>
        <family val="2"/>
      </rPr>
      <t xml:space="preserve">로 유지하면 </t>
    </r>
    <r>
      <rPr>
        <sz val="11"/>
        <color rgb="FF595959"/>
        <rFont val="Arial"/>
        <family val="0"/>
        <charset val="1"/>
      </rPr>
      <t xml:space="preserve">16</t>
    </r>
  </si>
  <si>
    <r>
      <rPr>
        <b val="true"/>
        <sz val="11"/>
        <color rgb="FFFFFFFF"/>
        <rFont val="Arial"/>
        <family val="0"/>
        <charset val="1"/>
      </rPr>
      <t xml:space="preserve">MoE top-k </t>
    </r>
    <r>
      <rPr>
        <b val="true"/>
        <sz val="11"/>
        <color rgb="FFFFFFFF"/>
        <rFont val="Noto Sans CJK SC"/>
        <family val="2"/>
      </rPr>
      <t xml:space="preserve">처리 — 직접 입력 </t>
    </r>
    <r>
      <rPr>
        <b val="true"/>
        <sz val="11"/>
        <color rgb="FFFFFFFF"/>
        <rFont val="Arial"/>
        <family val="0"/>
        <charset val="1"/>
      </rPr>
      <t xml:space="preserve">(Dense </t>
    </r>
    <r>
      <rPr>
        <b val="true"/>
        <sz val="11"/>
        <color rgb="FFFFFFFF"/>
        <rFont val="Noto Sans CJK SC"/>
        <family val="2"/>
      </rPr>
      <t xml:space="preserve">모델에는 영향 없음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</si>
  <si>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Top-k </t>
    </r>
    <r>
      <rPr>
        <sz val="11"/>
        <rFont val="Noto Sans CJK SC"/>
        <family val="2"/>
      </rPr>
      <t xml:space="preserve">실행 위치</t>
    </r>
  </si>
  <si>
    <t xml:space="preserve">CPU</t>
  </si>
  <si>
    <r>
      <rPr>
        <sz val="11"/>
        <color rgb="FF595959"/>
        <rFont val="Arial"/>
        <family val="0"/>
        <charset val="1"/>
      </rPr>
      <t xml:space="preserve">CPU = NPU</t>
    </r>
    <r>
      <rPr>
        <sz val="11"/>
        <color rgb="FF595959"/>
        <rFont val="Noto Sans CJK SC"/>
        <family val="2"/>
      </rPr>
      <t xml:space="preserve">에서 </t>
    </r>
    <r>
      <rPr>
        <sz val="11"/>
        <color rgb="FF595959"/>
        <rFont val="Arial"/>
        <family val="0"/>
        <charset val="1"/>
      </rPr>
      <t xml:space="preserve">router logit</t>
    </r>
    <r>
      <rPr>
        <sz val="11"/>
        <color rgb="FF595959"/>
        <rFont val="Noto Sans CJK SC"/>
        <family val="2"/>
      </rPr>
      <t xml:space="preserve">을 </t>
    </r>
    <r>
      <rPr>
        <sz val="11"/>
        <color rgb="FF595959"/>
        <rFont val="Arial"/>
        <family val="0"/>
        <charset val="1"/>
      </rPr>
      <t xml:space="preserve">CPU</t>
    </r>
    <r>
      <rPr>
        <sz val="11"/>
        <color rgb="FF595959"/>
        <rFont val="Noto Sans CJK SC"/>
        <family val="2"/>
      </rPr>
      <t xml:space="preserve">로 보냈다가 결과를 받아옴 </t>
    </r>
    <r>
      <rPr>
        <sz val="11"/>
        <color rgb="FF595959"/>
        <rFont val="Arial"/>
        <family val="0"/>
        <charset val="1"/>
      </rPr>
      <t xml:space="preserve">/ NPU = NPU </t>
    </r>
    <r>
      <rPr>
        <sz val="11"/>
        <color rgb="FF595959"/>
        <rFont val="Noto Sans CJK SC"/>
        <family val="2"/>
      </rPr>
      <t xml:space="preserve">내부 처리</t>
    </r>
  </si>
  <si>
    <r>
      <rPr>
        <sz val="11"/>
        <rFont val="Arial"/>
        <family val="0"/>
        <charset val="1"/>
      </rPr>
      <t xml:space="preserve">NPU→CPU→NPU </t>
    </r>
    <r>
      <rPr>
        <sz val="11"/>
        <rFont val="Noto Sans CJK SC"/>
        <family val="2"/>
      </rPr>
      <t xml:space="preserve">왕복 고정 지연</t>
    </r>
  </si>
  <si>
    <t xml:space="preserve">µs</t>
  </si>
  <si>
    <r>
      <rPr>
        <sz val="11"/>
        <color rgb="FF595959"/>
        <rFont val="Arial"/>
        <family val="0"/>
        <charset val="1"/>
      </rPr>
      <t xml:space="preserve">MoE layer</t>
    </r>
    <r>
      <rPr>
        <sz val="11"/>
        <color rgb="FF595959"/>
        <rFont val="Noto Sans CJK SC"/>
        <family val="2"/>
      </rPr>
      <t xml:space="preserve">당 </t>
    </r>
    <r>
      <rPr>
        <sz val="11"/>
        <color rgb="FF595959"/>
        <rFont val="Arial"/>
        <family val="0"/>
        <charset val="1"/>
      </rPr>
      <t xml:space="preserve">1</t>
    </r>
    <r>
      <rPr>
        <sz val="11"/>
        <color rgb="FF595959"/>
        <rFont val="Noto Sans CJK SC"/>
        <family val="2"/>
      </rPr>
      <t xml:space="preserve">회</t>
    </r>
    <r>
      <rPr>
        <sz val="11"/>
        <color rgb="FF595959"/>
        <rFont val="Arial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동기화</t>
    </r>
    <r>
      <rPr>
        <sz val="11"/>
        <color rgb="FF595959"/>
        <rFont val="Arial"/>
        <family val="0"/>
        <charset val="1"/>
      </rPr>
      <t xml:space="preserve">, </t>
    </r>
    <r>
      <rPr>
        <sz val="11"/>
        <color rgb="FF595959"/>
        <rFont val="Noto Sans CJK SC"/>
        <family val="2"/>
      </rPr>
      <t xml:space="preserve">캐시 </t>
    </r>
    <r>
      <rPr>
        <sz val="11"/>
        <color rgb="FF595959"/>
        <rFont val="Arial"/>
        <family val="0"/>
        <charset val="1"/>
      </rPr>
      <t xml:space="preserve">flush/invalidate, </t>
    </r>
    <r>
      <rPr>
        <sz val="11"/>
        <color rgb="FF595959"/>
        <rFont val="Noto Sans CJK SC"/>
        <family val="2"/>
      </rPr>
      <t xml:space="preserve">인터럽트</t>
    </r>
    <r>
      <rPr>
        <sz val="11"/>
        <color rgb="FF595959"/>
        <rFont val="Arial"/>
        <family val="0"/>
        <charset val="1"/>
      </rPr>
      <t xml:space="preserve">, </t>
    </r>
    <r>
      <rPr>
        <sz val="11"/>
        <color rgb="FF595959"/>
        <rFont val="Noto Sans CJK SC"/>
        <family val="2"/>
      </rPr>
      <t xml:space="preserve">다음 연산 재개 비용</t>
    </r>
  </si>
  <si>
    <r>
      <rPr>
        <sz val="11"/>
        <rFont val="Arial"/>
        <family val="0"/>
        <charset val="1"/>
      </rPr>
      <t xml:space="preserve">NPU↔CPU </t>
    </r>
    <r>
      <rPr>
        <sz val="11"/>
        <rFont val="Noto Sans CJK SC"/>
        <family val="2"/>
      </rPr>
      <t xml:space="preserve">데이터 전송 대역폭</t>
    </r>
  </si>
  <si>
    <r>
      <rPr>
        <sz val="11"/>
        <color rgb="FF595959"/>
        <rFont val="Noto Sans CJK SC"/>
        <family val="2"/>
      </rPr>
      <t xml:space="preserve">공유 </t>
    </r>
    <r>
      <rPr>
        <sz val="11"/>
        <color rgb="FF595959"/>
        <rFont val="Arial"/>
        <family val="0"/>
        <charset val="1"/>
      </rPr>
      <t xml:space="preserve">DRAM</t>
    </r>
    <r>
      <rPr>
        <sz val="11"/>
        <color rgb="FF595959"/>
        <rFont val="Noto Sans CJK SC"/>
        <family val="2"/>
      </rPr>
      <t xml:space="preserve">이면 실효 복사 속도</t>
    </r>
    <r>
      <rPr>
        <sz val="11"/>
        <color rgb="FF595959"/>
        <rFont val="Arial"/>
        <family val="0"/>
        <charset val="1"/>
      </rPr>
      <t xml:space="preserve">, PCIe</t>
    </r>
    <r>
      <rPr>
        <sz val="11"/>
        <color rgb="FF595959"/>
        <rFont val="Noto Sans CJK SC"/>
        <family val="2"/>
      </rPr>
      <t xml:space="preserve">면 링크 속도</t>
    </r>
  </si>
  <si>
    <r>
      <rPr>
        <sz val="11"/>
        <rFont val="Arial"/>
        <family val="0"/>
        <charset val="1"/>
      </rPr>
      <t xml:space="preserve">Router logit </t>
    </r>
    <r>
      <rPr>
        <sz val="11"/>
        <rFont val="Noto Sans CJK SC"/>
        <family val="2"/>
      </rPr>
      <t xml:space="preserve">전송 </t>
    </r>
    <r>
      <rPr>
        <sz val="11"/>
        <rFont val="Arial"/>
        <family val="0"/>
        <charset val="1"/>
      </rPr>
      <t xml:space="preserve">bit</t>
    </r>
  </si>
  <si>
    <r>
      <rPr>
        <sz val="11"/>
        <color rgb="FF595959"/>
        <rFont val="Arial"/>
        <family val="0"/>
        <charset val="1"/>
      </rPr>
      <t xml:space="preserve">NPU→CPU</t>
    </r>
    <r>
      <rPr>
        <sz val="11"/>
        <color rgb="FF595959"/>
        <rFont val="Noto Sans CJK SC"/>
        <family val="2"/>
      </rPr>
      <t xml:space="preserve">로 보내는 </t>
    </r>
    <r>
      <rPr>
        <sz val="11"/>
        <color rgb="FF595959"/>
        <rFont val="Arial"/>
        <family val="0"/>
        <charset val="1"/>
      </rPr>
      <t xml:space="preserve">logit </t>
    </r>
    <r>
      <rPr>
        <sz val="11"/>
        <color rgb="FF595959"/>
        <rFont val="Noto Sans CJK SC"/>
        <family val="2"/>
      </rPr>
      <t xml:space="preserve">정밀도</t>
    </r>
  </si>
  <si>
    <r>
      <rPr>
        <sz val="11"/>
        <rFont val="Noto Sans CJK SC"/>
        <family val="2"/>
      </rPr>
      <t xml:space="preserve">반환 데이터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토큰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선택 </t>
    </r>
    <r>
      <rPr>
        <sz val="11"/>
        <rFont val="Arial"/>
        <family val="0"/>
        <charset val="1"/>
      </rPr>
      <t xml:space="preserve">expert</t>
    </r>
    <r>
      <rPr>
        <sz val="11"/>
        <rFont val="Noto Sans CJK SC"/>
        <family val="2"/>
      </rPr>
      <t xml:space="preserve">당</t>
    </r>
    <r>
      <rPr>
        <sz val="11"/>
        <rFont val="Arial"/>
        <family val="0"/>
        <charset val="1"/>
      </rPr>
      <t xml:space="preserve">)</t>
    </r>
  </si>
  <si>
    <t xml:space="preserve">B</t>
  </si>
  <si>
    <r>
      <rPr>
        <sz val="11"/>
        <color rgb="FF595959"/>
        <rFont val="Noto Sans CJK SC"/>
        <family val="2"/>
      </rPr>
      <t xml:space="preserve">예</t>
    </r>
    <r>
      <rPr>
        <sz val="11"/>
        <color rgb="FF595959"/>
        <rFont val="Arial"/>
        <family val="0"/>
        <charset val="1"/>
      </rPr>
      <t xml:space="preserve">: expert index int32 4B + routing weight fp16 2B</t>
    </r>
  </si>
  <si>
    <r>
      <rPr>
        <sz val="11"/>
        <rFont val="Arial"/>
        <family val="0"/>
        <charset val="1"/>
      </rPr>
      <t xml:space="preserve">CPU top-k+softmax </t>
    </r>
    <r>
      <rPr>
        <sz val="11"/>
        <rFont val="Noto Sans CJK SC"/>
        <family val="2"/>
      </rPr>
      <t xml:space="preserve">처리 시간</t>
    </r>
  </si>
  <si>
    <t xml:space="preserve">ns/logit</t>
  </si>
  <si>
    <r>
      <rPr>
        <sz val="11"/>
        <color rgb="FF595959"/>
        <rFont val="Arial"/>
        <family val="0"/>
        <charset val="1"/>
      </rPr>
      <t xml:space="preserve">logit </t>
    </r>
    <r>
      <rPr>
        <sz val="11"/>
        <color rgb="FF595959"/>
        <rFont val="Noto Sans CJK SC"/>
        <family val="2"/>
      </rPr>
      <t xml:space="preserve">하나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토큰</t>
    </r>
    <r>
      <rPr>
        <sz val="11"/>
        <color rgb="FF595959"/>
        <rFont val="Arial"/>
        <family val="0"/>
        <charset val="1"/>
      </rPr>
      <t xml:space="preserve">×expert)</t>
    </r>
    <r>
      <rPr>
        <sz val="11"/>
        <color rgb="FF595959"/>
        <rFont val="Noto Sans CJK SC"/>
        <family val="2"/>
      </rPr>
      <t xml:space="preserve">당 </t>
    </r>
    <r>
      <rPr>
        <sz val="11"/>
        <color rgb="FF595959"/>
        <rFont val="Arial"/>
        <family val="0"/>
        <charset val="1"/>
      </rPr>
      <t xml:space="preserve">CPU </t>
    </r>
    <r>
      <rPr>
        <sz val="11"/>
        <color rgb="FF595959"/>
        <rFont val="Noto Sans CJK SC"/>
        <family val="2"/>
      </rPr>
      <t xml:space="preserve">처리 시간</t>
    </r>
  </si>
  <si>
    <r>
      <rPr>
        <sz val="11"/>
        <rFont val="Arial"/>
        <family val="0"/>
        <charset val="1"/>
      </rPr>
      <t xml:space="preserve">NPU </t>
    </r>
    <r>
      <rPr>
        <sz val="11"/>
        <rFont val="Noto Sans CJK SC"/>
        <family val="2"/>
      </rPr>
      <t xml:space="preserve">내부 </t>
    </r>
    <r>
      <rPr>
        <sz val="11"/>
        <rFont val="Arial"/>
        <family val="0"/>
        <charset val="1"/>
      </rPr>
      <t xml:space="preserve">top-k </t>
    </r>
    <r>
      <rPr>
        <sz val="11"/>
        <rFont val="Noto Sans CJK SC"/>
        <family val="2"/>
      </rPr>
      <t xml:space="preserve">비용 </t>
    </r>
    <r>
      <rPr>
        <sz val="11"/>
        <rFont val="Arial"/>
        <family val="0"/>
        <charset val="1"/>
      </rPr>
      <t xml:space="preserve">(NPU </t>
    </r>
    <r>
      <rPr>
        <sz val="11"/>
        <rFont val="Noto Sans CJK SC"/>
        <family val="2"/>
      </rPr>
      <t xml:space="preserve">선택 시</t>
    </r>
    <r>
      <rPr>
        <sz val="11"/>
        <rFont val="Arial"/>
        <family val="0"/>
        <charset val="1"/>
      </rPr>
      <t xml:space="preserve">)</t>
    </r>
  </si>
  <si>
    <r>
      <rPr>
        <sz val="11"/>
        <color rgb="FF595959"/>
        <rFont val="Arial"/>
        <family val="0"/>
        <charset val="1"/>
      </rPr>
      <t xml:space="preserve">MoE layer</t>
    </r>
    <r>
      <rPr>
        <sz val="11"/>
        <color rgb="FF595959"/>
        <rFont val="Noto Sans CJK SC"/>
        <family val="2"/>
      </rPr>
      <t xml:space="preserve">당</t>
    </r>
    <r>
      <rPr>
        <sz val="11"/>
        <color rgb="FF595959"/>
        <rFont val="Arial"/>
        <family val="0"/>
        <charset val="1"/>
      </rPr>
      <t xml:space="preserve">. CPU </t>
    </r>
    <r>
      <rPr>
        <sz val="11"/>
        <color rgb="FF595959"/>
        <rFont val="Noto Sans CJK SC"/>
        <family val="2"/>
      </rPr>
      <t xml:space="preserve">선택 시 무시</t>
    </r>
  </si>
  <si>
    <r>
      <rPr>
        <sz val="11"/>
        <rFont val="Noto Sans CJK SC"/>
        <family val="2"/>
      </rPr>
      <t xml:space="preserve">프리필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사용 수 기준</t>
    </r>
  </si>
  <si>
    <t xml:space="preserve">균등</t>
  </si>
  <si>
    <r>
      <rPr>
        <sz val="11"/>
        <color rgb="FF595959"/>
        <rFont val="Noto Sans CJK SC"/>
        <family val="2"/>
      </rPr>
      <t xml:space="preserve">균등 </t>
    </r>
    <r>
      <rPr>
        <sz val="11"/>
        <color rgb="FF595959"/>
        <rFont val="Arial"/>
        <family val="0"/>
        <charset val="1"/>
      </rPr>
      <t xml:space="preserve">= E×(1−(1−k/E)^N) </t>
    </r>
    <r>
      <rPr>
        <sz val="11"/>
        <color rgb="FF595959"/>
        <rFont val="Noto Sans CJK SC"/>
        <family val="2"/>
      </rPr>
      <t xml:space="preserve">공식 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보수적 상한</t>
    </r>
    <r>
      <rPr>
        <sz val="11"/>
        <color rgb="FF595959"/>
        <rFont val="Arial"/>
        <family val="0"/>
        <charset val="1"/>
      </rPr>
      <t xml:space="preserve">) / </t>
    </r>
    <r>
      <rPr>
        <sz val="11"/>
        <color rgb="FF595959"/>
        <rFont val="Noto Sans CJK SC"/>
        <family val="2"/>
      </rPr>
      <t xml:space="preserve">실측 </t>
    </r>
    <r>
      <rPr>
        <sz val="11"/>
        <color rgb="FF595959"/>
        <rFont val="Arial"/>
        <family val="0"/>
        <charset val="1"/>
      </rPr>
      <t xml:space="preserve">= 'Expert </t>
    </r>
    <r>
      <rPr>
        <sz val="11"/>
        <color rgb="FF595959"/>
        <rFont val="Noto Sans CJK SC"/>
        <family val="2"/>
      </rPr>
      <t xml:space="preserve">실측</t>
    </r>
    <r>
      <rPr>
        <sz val="11"/>
        <color rgb="FF595959"/>
        <rFont val="Arial"/>
        <family val="0"/>
        <charset val="1"/>
      </rPr>
      <t xml:space="preserve">' </t>
    </r>
    <r>
      <rPr>
        <sz val="11"/>
        <color rgb="FF595959"/>
        <rFont val="Noto Sans CJK SC"/>
        <family val="2"/>
      </rPr>
      <t xml:space="preserve">시트 값 사용 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빈 칸은 균등으로 대체</t>
    </r>
    <r>
      <rPr>
        <sz val="11"/>
        <color rgb="FF595959"/>
        <rFont val="Arial"/>
        <family val="0"/>
        <charset val="1"/>
      </rPr>
      <t xml:space="preserve">)</t>
    </r>
  </si>
  <si>
    <t xml:space="preserve">시나리오</t>
  </si>
  <si>
    <t xml:space="preserve">Batch</t>
  </si>
  <si>
    <r>
      <rPr>
        <sz val="11"/>
        <color rgb="FF595959"/>
        <rFont val="Arial"/>
        <family val="0"/>
        <charset val="1"/>
      </rPr>
      <t xml:space="preserve">batch 1 </t>
    </r>
    <r>
      <rPr>
        <sz val="11"/>
        <color rgb="FF595959"/>
        <rFont val="Noto Sans CJK SC"/>
        <family val="2"/>
      </rPr>
      <t xml:space="preserve">기준 계산기</t>
    </r>
  </si>
  <si>
    <t xml:space="preserve">출력 토큰 수</t>
  </si>
  <si>
    <t xml:space="preserve">tokens</t>
  </si>
  <si>
    <t xml:space="preserve">디코드 컨텍스트 계산용</t>
  </si>
  <si>
    <t xml:space="preserve">디코드 컨텍스트 위치</t>
  </si>
  <si>
    <r>
      <rPr>
        <sz val="11"/>
        <color rgb="FF595959"/>
        <rFont val="Arial"/>
        <family val="0"/>
        <charset val="1"/>
      </rPr>
      <t xml:space="preserve">tok/s </t>
    </r>
    <r>
      <rPr>
        <sz val="11"/>
        <color rgb="FF595959"/>
        <rFont val="Noto Sans CJK SC"/>
        <family val="2"/>
      </rPr>
      <t xml:space="preserve">계산 시점 </t>
    </r>
    <r>
      <rPr>
        <sz val="11"/>
        <color rgb="FF595959"/>
        <rFont val="Arial"/>
        <family val="0"/>
        <charset val="1"/>
      </rPr>
      <t xml:space="preserve">= </t>
    </r>
    <r>
      <rPr>
        <sz val="11"/>
        <color rgb="FF595959"/>
        <rFont val="Noto Sans CJK SC"/>
        <family val="2"/>
      </rPr>
      <t xml:space="preserve">입력 </t>
    </r>
    <r>
      <rPr>
        <sz val="11"/>
        <color rgb="FF595959"/>
        <rFont val="Arial"/>
        <family val="0"/>
        <charset val="1"/>
      </rPr>
      <t xml:space="preserve">+ </t>
    </r>
    <r>
      <rPr>
        <sz val="11"/>
        <color rgb="FF595959"/>
        <rFont val="Noto Sans CJK SC"/>
        <family val="2"/>
      </rPr>
      <t xml:space="preserve">출력</t>
    </r>
    <r>
      <rPr>
        <sz val="11"/>
        <color rgb="FF595959"/>
        <rFont val="Arial"/>
        <family val="0"/>
        <charset val="1"/>
      </rPr>
      <t xml:space="preserve">×</t>
    </r>
    <r>
      <rPr>
        <sz val="11"/>
        <color rgb="FF595959"/>
        <rFont val="Noto Sans CJK SC"/>
        <family val="2"/>
      </rPr>
      <t xml:space="preserve">이 값 </t>
    </r>
    <r>
      <rPr>
        <sz val="11"/>
        <color rgb="FF595959"/>
        <rFont val="Arial"/>
        <family val="0"/>
        <charset val="1"/>
      </rPr>
      <t xml:space="preserve">(0 = </t>
    </r>
    <r>
      <rPr>
        <sz val="11"/>
        <color rgb="FF595959"/>
        <rFont val="Noto Sans CJK SC"/>
        <family val="2"/>
      </rPr>
      <t xml:space="preserve">첫 토큰</t>
    </r>
    <r>
      <rPr>
        <sz val="11"/>
        <color rgb="FF595959"/>
        <rFont val="Arial"/>
        <family val="0"/>
        <charset val="1"/>
      </rPr>
      <t xml:space="preserve">, 0.5 = </t>
    </r>
    <r>
      <rPr>
        <sz val="11"/>
        <color rgb="FF595959"/>
        <rFont val="Noto Sans CJK SC"/>
        <family val="2"/>
      </rPr>
      <t xml:space="preserve">생성 구간 평균</t>
    </r>
    <r>
      <rPr>
        <sz val="11"/>
        <color rgb="FF595959"/>
        <rFont val="Arial"/>
        <family val="0"/>
        <charset val="1"/>
      </rPr>
      <t xml:space="preserve">)</t>
    </r>
  </si>
  <si>
    <t xml:space="preserve">입력 시퀀스 길이</t>
  </si>
  <si>
    <r>
      <rPr>
        <b val="true"/>
        <sz val="11"/>
        <color rgb="FFFFFFFF"/>
        <rFont val="Noto Sans CJK SC"/>
        <family val="2"/>
      </rPr>
      <t xml:space="preserve">파생값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자동 계산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</si>
  <si>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Activation </t>
    </r>
    <r>
      <rPr>
        <sz val="11"/>
        <rFont val="Noto Sans CJK SC"/>
        <family val="2"/>
      </rPr>
      <t xml:space="preserve">바이트</t>
    </r>
  </si>
  <si>
    <r>
      <rPr>
        <sz val="11"/>
        <rFont val="Arial"/>
        <family val="0"/>
        <charset val="1"/>
      </rPr>
      <t xml:space="preserve">KV cache </t>
    </r>
    <r>
      <rPr>
        <sz val="11"/>
        <rFont val="Noto Sans CJK SC"/>
        <family val="2"/>
      </rPr>
      <t xml:space="preserve">바이트</t>
    </r>
  </si>
  <si>
    <r>
      <rPr>
        <sz val="11"/>
        <rFont val="Arial"/>
        <family val="0"/>
        <charset val="1"/>
      </rPr>
      <t xml:space="preserve">GDN state </t>
    </r>
    <r>
      <rPr>
        <sz val="11"/>
        <rFont val="Noto Sans CJK SC"/>
        <family val="2"/>
      </rPr>
      <t xml:space="preserve">바이트</t>
    </r>
  </si>
  <si>
    <t xml:space="preserve">실효 대역폭</t>
  </si>
  <si>
    <t xml:space="preserve">B/s</t>
  </si>
  <si>
    <r>
      <rPr>
        <sz val="11"/>
        <rFont val="Noto Sans CJK SC"/>
        <family val="2"/>
      </rPr>
      <t xml:space="preserve">타일 버퍼 크기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입력 또는 가중치용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</si>
  <si>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모델이 쓸 수 있는 </t>
    </r>
    <r>
      <rPr>
        <sz val="11"/>
        <rFont val="Arial"/>
        <family val="0"/>
        <charset val="1"/>
      </rPr>
      <t xml:space="preserve">DRAM</t>
    </r>
  </si>
  <si>
    <r>
      <rPr>
        <sz val="11"/>
        <color rgb="FF595959"/>
        <rFont val="Arial"/>
        <family val="0"/>
        <charset val="1"/>
      </rPr>
      <t xml:space="preserve">DRAM </t>
    </r>
    <r>
      <rPr>
        <sz val="11"/>
        <color rgb="FF595959"/>
        <rFont val="Noto Sans CJK SC"/>
        <family val="2"/>
      </rPr>
      <t xml:space="preserve">용량 − 예약 용량</t>
    </r>
  </si>
  <si>
    <r>
      <rPr>
        <sz val="11"/>
        <rFont val="Arial"/>
        <family val="0"/>
        <charset val="1"/>
      </rPr>
      <t xml:space="preserve">Attention </t>
    </r>
    <r>
      <rPr>
        <sz val="11"/>
        <rFont val="Noto Sans CJK SC"/>
        <family val="2"/>
      </rPr>
      <t xml:space="preserve">실효 연산 성능</t>
    </r>
  </si>
  <si>
    <t xml:space="preserve">ops/s</t>
  </si>
  <si>
    <r>
      <rPr>
        <sz val="11"/>
        <color rgb="FF595959"/>
        <rFont val="Arial"/>
        <family val="0"/>
        <charset val="1"/>
      </rPr>
      <t xml:space="preserve">TOPS </t>
    </r>
    <r>
      <rPr>
        <sz val="11"/>
        <color rgb="FF595959"/>
        <rFont val="Noto Sans CJK SC"/>
        <family val="2"/>
      </rPr>
      <t xml:space="preserve">표에서 조회 </t>
    </r>
    <r>
      <rPr>
        <sz val="11"/>
        <color rgb="FF595959"/>
        <rFont val="Arial"/>
        <family val="0"/>
        <charset val="1"/>
      </rPr>
      <t xml:space="preserve">× </t>
    </r>
    <r>
      <rPr>
        <sz val="11"/>
        <color rgb="FF595959"/>
        <rFont val="Noto Sans CJK SC"/>
        <family val="2"/>
      </rPr>
      <t xml:space="preserve">연산 실효율</t>
    </r>
  </si>
  <si>
    <r>
      <rPr>
        <sz val="11"/>
        <rFont val="Arial"/>
        <family val="0"/>
        <charset val="1"/>
      </rPr>
      <t xml:space="preserve">Linear attn (GDN) </t>
    </r>
    <r>
      <rPr>
        <sz val="11"/>
        <rFont val="Noto Sans CJK SC"/>
        <family val="2"/>
      </rPr>
      <t xml:space="preserve">실효 연산 성능</t>
    </r>
  </si>
  <si>
    <r>
      <rPr>
        <sz val="11"/>
        <rFont val="Arial"/>
        <family val="0"/>
        <charset val="1"/>
      </rPr>
      <t xml:space="preserve">FFN / Expert </t>
    </r>
    <r>
      <rPr>
        <sz val="11"/>
        <rFont val="Noto Sans CJK SC"/>
        <family val="2"/>
      </rPr>
      <t xml:space="preserve">실효 연산 성능</t>
    </r>
  </si>
  <si>
    <r>
      <rPr>
        <sz val="11"/>
        <rFont val="Arial"/>
        <family val="0"/>
        <charset val="1"/>
      </rPr>
      <t xml:space="preserve">Router (MoE) </t>
    </r>
    <r>
      <rPr>
        <sz val="11"/>
        <rFont val="Noto Sans CJK SC"/>
        <family val="2"/>
      </rPr>
      <t xml:space="preserve">실효 연산 성능</t>
    </r>
  </si>
  <si>
    <r>
      <rPr>
        <sz val="11"/>
        <rFont val="Arial"/>
        <family val="0"/>
        <charset val="1"/>
      </rPr>
      <t xml:space="preserve">LM head </t>
    </r>
    <r>
      <rPr>
        <sz val="11"/>
        <rFont val="Noto Sans CJK SC"/>
        <family val="2"/>
      </rPr>
      <t xml:space="preserve">실효 연산 성능</t>
    </r>
  </si>
  <si>
    <r>
      <rPr>
        <sz val="11"/>
        <rFont val="Noto Sans CJK SC"/>
        <family val="2"/>
      </rPr>
      <t xml:space="preserve">어텐션</t>
    </r>
    <r>
      <rPr>
        <sz val="11"/>
        <rFont val="Arial"/>
        <family val="0"/>
        <charset val="1"/>
      </rPr>
      <t xml:space="preserve">(QK·PV) </t>
    </r>
    <r>
      <rPr>
        <sz val="11"/>
        <rFont val="Noto Sans CJK SC"/>
        <family val="2"/>
      </rPr>
      <t xml:space="preserve">실효 연산 성능</t>
    </r>
  </si>
  <si>
    <r>
      <rPr>
        <sz val="11"/>
        <color rgb="FF595959"/>
        <rFont val="Arial"/>
        <family val="0"/>
        <charset val="1"/>
      </rPr>
      <t xml:space="preserve">KV bit × Activation bit</t>
    </r>
    <r>
      <rPr>
        <sz val="11"/>
        <color rgb="FF595959"/>
        <rFont val="Noto Sans CJK SC"/>
        <family val="2"/>
      </rPr>
      <t xml:space="preserve">로 조회</t>
    </r>
  </si>
  <si>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코어 실효 연산 성능</t>
    </r>
  </si>
  <si>
    <t xml:space="preserve">현재 설정 요약</t>
  </si>
  <si>
    <r>
      <rPr>
        <b val="true"/>
        <sz val="14"/>
        <rFont val="Noto Sans CJK SC"/>
        <family val="2"/>
      </rPr>
      <t xml:space="preserve">모델 파라미터 </t>
    </r>
    <r>
      <rPr>
        <b val="true"/>
        <sz val="14"/>
        <rFont val="Arial"/>
        <family val="0"/>
        <charset val="1"/>
      </rPr>
      <t xml:space="preserve">(Hugging Face config.json </t>
    </r>
    <r>
      <rPr>
        <b val="true"/>
        <sz val="14"/>
        <rFont val="Noto Sans CJK SC"/>
        <family val="2"/>
      </rPr>
      <t xml:space="preserve">기준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텍스트 모델만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</si>
  <si>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노란 칸 수정 가능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사용하지 않는 블록은 </t>
    </r>
    <r>
      <rPr>
        <i val="true"/>
        <sz val="11"/>
        <color rgb="FF595959"/>
        <rFont val="Arial"/>
        <family val="0"/>
        <charset val="1"/>
      </rPr>
      <t xml:space="preserve">layer </t>
    </r>
    <r>
      <rPr>
        <i val="true"/>
        <sz val="11"/>
        <color rgb="FF595959"/>
        <rFont val="Noto Sans CJK SC"/>
        <family val="2"/>
      </rPr>
      <t xml:space="preserve">수를 </t>
    </r>
    <r>
      <rPr>
        <i val="true"/>
        <sz val="11"/>
        <color rgb="FF595959"/>
        <rFont val="Arial"/>
        <family val="0"/>
        <charset val="1"/>
      </rPr>
      <t xml:space="preserve">0</t>
    </r>
    <r>
      <rPr>
        <i val="true"/>
        <sz val="11"/>
        <color rgb="FF595959"/>
        <rFont val="Noto Sans CJK SC"/>
        <family val="2"/>
      </rPr>
      <t xml:space="preserve">으로 두면 됩니다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모델 </t>
    </r>
    <r>
      <rPr>
        <i val="true"/>
        <sz val="11"/>
        <color rgb="FF595959"/>
        <rFont val="Arial"/>
        <family val="0"/>
        <charset val="1"/>
      </rPr>
      <t xml:space="preserve">5 </t>
    </r>
    <r>
      <rPr>
        <i val="true"/>
        <sz val="11"/>
        <color rgb="FF595959"/>
        <rFont val="Noto Sans CJK SC"/>
        <family val="2"/>
      </rPr>
      <t xml:space="preserve">칸은 사용자 정의용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예시</t>
    </r>
    <r>
      <rPr>
        <i val="true"/>
        <sz val="11"/>
        <color rgb="FF595959"/>
        <rFont val="Arial"/>
        <family val="0"/>
        <charset val="1"/>
      </rPr>
      <t xml:space="preserve">: Llama 3.2 3B Instruct).</t>
    </r>
  </si>
  <si>
    <r>
      <rPr>
        <b val="true"/>
        <sz val="11"/>
        <rFont val="Noto Sans CJK SC"/>
        <family val="2"/>
      </rPr>
      <t xml:space="preserve">모델 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</si>
  <si>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모델 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</si>
  <si>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Noto Sans CJK SC"/>
        <family val="2"/>
      </rPr>
      <t xml:space="preserve">모델 </t>
    </r>
    <r>
      <rPr>
        <b val="true"/>
        <sz val="11"/>
        <rFont val="Arial"/>
        <family val="0"/>
        <charset val="1"/>
      </rPr>
      <t xml:space="preserve">3</t>
    </r>
  </si>
  <si>
    <r>
      <rPr>
        <b val="true"/>
        <sz val="11"/>
        <rFont val="Noto Sans CJK SC"/>
        <family val="2"/>
      </rPr>
      <t xml:space="preserve">모델 </t>
    </r>
    <r>
      <rPr>
        <b val="true"/>
        <sz val="11"/>
        <rFont val="Arial"/>
        <family val="0"/>
        <charset val="1"/>
      </rPr>
      <t xml:space="preserve">4</t>
    </r>
  </si>
  <si>
    <r>
      <rPr>
        <b val="true"/>
        <sz val="11"/>
        <rFont val="Noto Sans CJK SC"/>
        <family val="2"/>
      </rPr>
      <t xml:space="preserve">모델 </t>
    </r>
    <r>
      <rPr>
        <b val="true"/>
        <sz val="11"/>
        <rFont val="Arial"/>
        <family val="0"/>
        <charset val="1"/>
      </rPr>
      <t xml:space="preserve">5</t>
    </r>
  </si>
  <si>
    <r>
      <rPr>
        <b val="true"/>
        <sz val="11"/>
        <rFont val="Arial"/>
        <family val="0"/>
        <charset val="1"/>
      </rPr>
      <t xml:space="preserve">HF config </t>
    </r>
    <r>
      <rPr>
        <b val="true"/>
        <sz val="11"/>
        <rFont val="Noto Sans CJK SC"/>
        <family val="2"/>
      </rPr>
      <t xml:space="preserve">키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설명</t>
    </r>
  </si>
  <si>
    <t xml:space="preserve">공통</t>
  </si>
  <si>
    <t xml:space="preserve">모델 이름</t>
  </si>
  <si>
    <t xml:space="preserve">Llama 3.1 8B Instruct</t>
  </si>
  <si>
    <t xml:space="preserve">gpt-oss-20b</t>
  </si>
  <si>
    <t xml:space="preserve">Qwen3.6-35B-A3B</t>
  </si>
  <si>
    <t xml:space="preserve">Gemma 4 26B-A4B</t>
  </si>
  <si>
    <t xml:space="preserve">Llama 3.2 3B Instruct</t>
  </si>
  <si>
    <r>
      <rPr>
        <sz val="11"/>
        <rFont val="Noto Sans CJK SC"/>
        <family val="2"/>
      </rPr>
      <t xml:space="preserve">전체 </t>
    </r>
    <r>
      <rPr>
        <sz val="11"/>
        <rFont val="Arial"/>
        <family val="0"/>
        <charset val="1"/>
      </rPr>
      <t xml:space="preserve">Layer </t>
    </r>
    <r>
      <rPr>
        <sz val="11"/>
        <rFont val="Noto Sans CJK SC"/>
        <family val="2"/>
      </rPr>
      <t xml:space="preserve">수</t>
    </r>
  </si>
  <si>
    <t xml:space="preserve">num_hidden_layers</t>
  </si>
  <si>
    <r>
      <rPr>
        <sz val="11"/>
        <rFont val="Arial"/>
        <family val="0"/>
        <charset val="1"/>
      </rPr>
      <t xml:space="preserve">Hidden </t>
    </r>
    <r>
      <rPr>
        <sz val="11"/>
        <rFont val="Noto Sans CJK SC"/>
        <family val="2"/>
      </rPr>
      <t xml:space="preserve">크기</t>
    </r>
  </si>
  <si>
    <t xml:space="preserve">hidden_size</t>
  </si>
  <si>
    <r>
      <rPr>
        <sz val="11"/>
        <rFont val="Arial"/>
        <family val="0"/>
        <charset val="1"/>
      </rPr>
      <t xml:space="preserve">Vocab </t>
    </r>
    <r>
      <rPr>
        <sz val="11"/>
        <rFont val="Noto Sans CJK SC"/>
        <family val="2"/>
      </rPr>
      <t xml:space="preserve">크기</t>
    </r>
  </si>
  <si>
    <t xml:space="preserve">vocab_size</t>
  </si>
  <si>
    <r>
      <rPr>
        <sz val="11"/>
        <rFont val="Noto Sans CJK SC"/>
        <family val="2"/>
      </rPr>
      <t xml:space="preserve">임베딩 공유 </t>
    </r>
    <r>
      <rPr>
        <sz val="11"/>
        <rFont val="Arial"/>
        <family val="0"/>
        <charset val="1"/>
      </rPr>
      <t xml:space="preserve">(1/0)</t>
    </r>
  </si>
  <si>
    <t xml:space="preserve">tie_word_embeddings</t>
  </si>
  <si>
    <t xml:space="preserve">Full (global) attention</t>
  </si>
  <si>
    <r>
      <rPr>
        <sz val="11"/>
        <rFont val="Arial"/>
        <family val="0"/>
        <charset val="1"/>
      </rPr>
      <t xml:space="preserve">Layer </t>
    </r>
    <r>
      <rPr>
        <sz val="11"/>
        <rFont val="Noto Sans CJK SC"/>
        <family val="2"/>
      </rPr>
      <t xml:space="preserve">수</t>
    </r>
  </si>
  <si>
    <r>
      <rPr>
        <sz val="11"/>
        <color rgb="FF595959"/>
        <rFont val="Arial"/>
        <family val="0"/>
        <charset val="1"/>
      </rPr>
      <t xml:space="preserve">layer_types </t>
    </r>
    <r>
      <rPr>
        <sz val="11"/>
        <color rgb="FF595959"/>
        <rFont val="Noto Sans CJK SC"/>
        <family val="2"/>
      </rPr>
      <t xml:space="preserve">중 </t>
    </r>
    <r>
      <rPr>
        <sz val="11"/>
        <color rgb="FF595959"/>
        <rFont val="Arial"/>
        <family val="0"/>
        <charset val="1"/>
      </rPr>
      <t xml:space="preserve">full_attention </t>
    </r>
    <r>
      <rPr>
        <sz val="11"/>
        <color rgb="FF595959"/>
        <rFont val="Noto Sans CJK SC"/>
        <family val="2"/>
      </rPr>
      <t xml:space="preserve">개수</t>
    </r>
  </si>
  <si>
    <r>
      <rPr>
        <sz val="11"/>
        <rFont val="Arial"/>
        <family val="0"/>
        <charset val="1"/>
      </rPr>
      <t xml:space="preserve">Query head </t>
    </r>
    <r>
      <rPr>
        <sz val="11"/>
        <rFont val="Noto Sans CJK SC"/>
        <family val="2"/>
      </rPr>
      <t xml:space="preserve">수</t>
    </r>
  </si>
  <si>
    <t xml:space="preserve">num_attention_heads</t>
  </si>
  <si>
    <r>
      <rPr>
        <sz val="11"/>
        <rFont val="Arial"/>
        <family val="0"/>
        <charset val="1"/>
      </rPr>
      <t xml:space="preserve">KV head </t>
    </r>
    <r>
      <rPr>
        <sz val="11"/>
        <rFont val="Noto Sans CJK SC"/>
        <family val="2"/>
      </rPr>
      <t xml:space="preserve">수</t>
    </r>
  </si>
  <si>
    <t xml:space="preserve">num_key_value_heads (Gemma 4: num_global_key_value_heads)</t>
  </si>
  <si>
    <r>
      <rPr>
        <sz val="11"/>
        <rFont val="Arial"/>
        <family val="0"/>
        <charset val="1"/>
      </rPr>
      <t xml:space="preserve">Head </t>
    </r>
    <r>
      <rPr>
        <sz val="11"/>
        <rFont val="Noto Sans CJK SC"/>
        <family val="2"/>
      </rPr>
      <t xml:space="preserve">차원</t>
    </r>
  </si>
  <si>
    <t xml:space="preserve">head_dim (Gemma 4: global_head_dim)</t>
  </si>
  <si>
    <r>
      <rPr>
        <sz val="11"/>
        <rFont val="Arial"/>
        <family val="0"/>
        <charset val="1"/>
      </rPr>
      <t xml:space="preserve">q_proj </t>
    </r>
    <r>
      <rPr>
        <sz val="11"/>
        <rFont val="Noto Sans CJK SC"/>
        <family val="2"/>
      </rPr>
      <t xml:space="preserve">출력 배수</t>
    </r>
  </si>
  <si>
    <r>
      <rPr>
        <sz val="11"/>
        <color rgb="FF595959"/>
        <rFont val="Arial"/>
        <family val="0"/>
        <charset val="1"/>
      </rPr>
      <t xml:space="preserve">Qwen3.6 attn_output_gate = 2 (query + gate), </t>
    </r>
    <r>
      <rPr>
        <sz val="11"/>
        <color rgb="FF595959"/>
        <rFont val="Noto Sans CJK SC"/>
        <family val="2"/>
      </rPr>
      <t xml:space="preserve">그 외 </t>
    </r>
    <r>
      <rPr>
        <sz val="11"/>
        <color rgb="FF595959"/>
        <rFont val="Arial"/>
        <family val="0"/>
        <charset val="1"/>
      </rPr>
      <t xml:space="preserve">1</t>
    </r>
  </si>
  <si>
    <r>
      <rPr>
        <sz val="11"/>
        <rFont val="Arial"/>
        <family val="0"/>
        <charset val="1"/>
      </rPr>
      <t xml:space="preserve">v_proj </t>
    </r>
    <r>
      <rPr>
        <sz val="11"/>
        <rFont val="Noto Sans CJK SC"/>
        <family val="2"/>
      </rPr>
      <t xml:space="preserve">존재 </t>
    </r>
    <r>
      <rPr>
        <sz val="11"/>
        <rFont val="Arial"/>
        <family val="0"/>
        <charset val="1"/>
      </rPr>
      <t xml:space="preserve">(1/0)</t>
    </r>
  </si>
  <si>
    <r>
      <rPr>
        <sz val="11"/>
        <color rgb="FF595959"/>
        <rFont val="Arial"/>
        <family val="0"/>
        <charset val="1"/>
      </rPr>
      <t xml:space="preserve">Gemma 4 global</t>
    </r>
    <r>
      <rPr>
        <sz val="11"/>
        <color rgb="FF595959"/>
        <rFont val="Noto Sans CJK SC"/>
        <family val="2"/>
      </rPr>
      <t xml:space="preserve">은 </t>
    </r>
    <r>
      <rPr>
        <sz val="11"/>
        <color rgb="FF595959"/>
        <rFont val="Arial"/>
        <family val="0"/>
        <charset val="1"/>
      </rPr>
      <t xml:space="preserve">attention_k_eq_v → 0 (V=K, KV cache</t>
    </r>
    <r>
      <rPr>
        <sz val="11"/>
        <color rgb="FF595959"/>
        <rFont val="Noto Sans CJK SC"/>
        <family val="2"/>
      </rPr>
      <t xml:space="preserve">는 </t>
    </r>
    <r>
      <rPr>
        <sz val="11"/>
        <color rgb="FF595959"/>
        <rFont val="Arial"/>
        <family val="0"/>
        <charset val="1"/>
      </rPr>
      <t xml:space="preserve">K/V </t>
    </r>
    <r>
      <rPr>
        <sz val="11"/>
        <color rgb="FF595959"/>
        <rFont val="Noto Sans CJK SC"/>
        <family val="2"/>
      </rPr>
      <t xml:space="preserve">모두 저장으로 가정</t>
    </r>
    <r>
      <rPr>
        <sz val="11"/>
        <color rgb="FF595959"/>
        <rFont val="Arial"/>
        <family val="0"/>
        <charset val="1"/>
      </rPr>
      <t xml:space="preserve">)</t>
    </r>
  </si>
  <si>
    <t xml:space="preserve">Sliding window attention</t>
  </si>
  <si>
    <r>
      <rPr>
        <sz val="11"/>
        <color rgb="FF595959"/>
        <rFont val="Arial"/>
        <family val="0"/>
        <charset val="1"/>
      </rPr>
      <t xml:space="preserve">layer_types </t>
    </r>
    <r>
      <rPr>
        <sz val="11"/>
        <color rgb="FF595959"/>
        <rFont val="Noto Sans CJK SC"/>
        <family val="2"/>
      </rPr>
      <t xml:space="preserve">중 </t>
    </r>
    <r>
      <rPr>
        <sz val="11"/>
        <color rgb="FF595959"/>
        <rFont val="Arial"/>
        <family val="0"/>
        <charset val="1"/>
      </rPr>
      <t xml:space="preserve">sliding_attention </t>
    </r>
    <r>
      <rPr>
        <sz val="11"/>
        <color rgb="FF595959"/>
        <rFont val="Noto Sans CJK SC"/>
        <family val="2"/>
      </rPr>
      <t xml:space="preserve">개수</t>
    </r>
  </si>
  <si>
    <r>
      <rPr>
        <sz val="11"/>
        <rFont val="Arial"/>
        <family val="0"/>
        <charset val="1"/>
      </rPr>
      <t xml:space="preserve">Window </t>
    </r>
    <r>
      <rPr>
        <sz val="11"/>
        <rFont val="Noto Sans CJK SC"/>
        <family val="2"/>
      </rPr>
      <t xml:space="preserve">크기</t>
    </r>
  </si>
  <si>
    <t xml:space="preserve">sliding_window</t>
  </si>
  <si>
    <t xml:space="preserve">num_key_value_heads</t>
  </si>
  <si>
    <t xml:space="preserve">head_dim</t>
  </si>
  <si>
    <t xml:space="preserve">Linear attention (Gated DeltaNet)</t>
  </si>
  <si>
    <r>
      <rPr>
        <sz val="11"/>
        <color rgb="FF595959"/>
        <rFont val="Arial"/>
        <family val="0"/>
        <charset val="1"/>
      </rPr>
      <t xml:space="preserve">layer_types </t>
    </r>
    <r>
      <rPr>
        <sz val="11"/>
        <color rgb="FF595959"/>
        <rFont val="Noto Sans CJK SC"/>
        <family val="2"/>
      </rPr>
      <t xml:space="preserve">중 </t>
    </r>
    <r>
      <rPr>
        <sz val="11"/>
        <color rgb="FF595959"/>
        <rFont val="Arial"/>
        <family val="0"/>
        <charset val="1"/>
      </rPr>
      <t xml:space="preserve">linear_attention </t>
    </r>
    <r>
      <rPr>
        <sz val="11"/>
        <color rgb="FF595959"/>
        <rFont val="Noto Sans CJK SC"/>
        <family val="2"/>
      </rPr>
      <t xml:space="preserve">개수</t>
    </r>
  </si>
  <si>
    <r>
      <rPr>
        <sz val="11"/>
        <rFont val="Arial"/>
        <family val="0"/>
        <charset val="1"/>
      </rPr>
      <t xml:space="preserve">Key head </t>
    </r>
    <r>
      <rPr>
        <sz val="11"/>
        <rFont val="Noto Sans CJK SC"/>
        <family val="2"/>
      </rPr>
      <t xml:space="preserve">수</t>
    </r>
  </si>
  <si>
    <t xml:space="preserve">linear_num_key_heads</t>
  </si>
  <si>
    <r>
      <rPr>
        <sz val="11"/>
        <rFont val="Arial"/>
        <family val="0"/>
        <charset val="1"/>
      </rPr>
      <t xml:space="preserve">Key head </t>
    </r>
    <r>
      <rPr>
        <sz val="11"/>
        <rFont val="Noto Sans CJK SC"/>
        <family val="2"/>
      </rPr>
      <t xml:space="preserve">차원</t>
    </r>
  </si>
  <si>
    <t xml:space="preserve">linear_key_head_dim</t>
  </si>
  <si>
    <r>
      <rPr>
        <sz val="11"/>
        <rFont val="Arial"/>
        <family val="0"/>
        <charset val="1"/>
      </rPr>
      <t xml:space="preserve">Value head </t>
    </r>
    <r>
      <rPr>
        <sz val="11"/>
        <rFont val="Noto Sans CJK SC"/>
        <family val="2"/>
      </rPr>
      <t xml:space="preserve">수</t>
    </r>
  </si>
  <si>
    <t xml:space="preserve">linear_num_value_heads</t>
  </si>
  <si>
    <r>
      <rPr>
        <sz val="11"/>
        <rFont val="Arial"/>
        <family val="0"/>
        <charset val="1"/>
      </rPr>
      <t xml:space="preserve">Value head </t>
    </r>
    <r>
      <rPr>
        <sz val="11"/>
        <rFont val="Noto Sans CJK SC"/>
        <family val="2"/>
      </rPr>
      <t xml:space="preserve">차원</t>
    </r>
  </si>
  <si>
    <t xml:space="preserve">linear_value_head_dim</t>
  </si>
  <si>
    <r>
      <rPr>
        <sz val="11"/>
        <rFont val="Arial"/>
        <family val="0"/>
        <charset val="1"/>
      </rPr>
      <t xml:space="preserve">Conv kernel </t>
    </r>
    <r>
      <rPr>
        <sz val="11"/>
        <rFont val="Noto Sans CJK SC"/>
        <family val="2"/>
      </rPr>
      <t xml:space="preserve">크기</t>
    </r>
  </si>
  <si>
    <t xml:space="preserve">linear_conv_kernel_dim</t>
  </si>
  <si>
    <r>
      <rPr>
        <sz val="11"/>
        <rFont val="Arial"/>
        <family val="0"/>
        <charset val="1"/>
      </rPr>
      <t xml:space="preserve">Chunk </t>
    </r>
    <r>
      <rPr>
        <sz val="11"/>
        <rFont val="Noto Sans CJK SC"/>
        <family val="2"/>
      </rPr>
      <t xml:space="preserve">크기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프리필</t>
    </r>
    <r>
      <rPr>
        <sz val="11"/>
        <rFont val="Arial"/>
        <family val="0"/>
        <charset val="1"/>
      </rPr>
      <t xml:space="preserve">)</t>
    </r>
  </si>
  <si>
    <r>
      <rPr>
        <sz val="11"/>
        <color rgb="FF595959"/>
        <rFont val="Arial"/>
        <family val="0"/>
        <charset val="1"/>
      </rPr>
      <t xml:space="preserve">transformers chunk_gated_delta_rule </t>
    </r>
    <r>
      <rPr>
        <sz val="11"/>
        <color rgb="FF595959"/>
        <rFont val="Noto Sans CJK SC"/>
        <family val="2"/>
      </rPr>
      <t xml:space="preserve">기본값 </t>
    </r>
    <r>
      <rPr>
        <sz val="11"/>
        <color rgb="FF595959"/>
        <rFont val="Arial"/>
        <family val="0"/>
        <charset val="1"/>
      </rPr>
      <t xml:space="preserve">64</t>
    </r>
  </si>
  <si>
    <t xml:space="preserve">FFN / MoE</t>
  </si>
  <si>
    <r>
      <rPr>
        <sz val="11"/>
        <rFont val="Noto Sans CJK SC"/>
        <family val="2"/>
      </rPr>
      <t xml:space="preserve">항상 활성 </t>
    </r>
    <r>
      <rPr>
        <sz val="11"/>
        <rFont val="Arial"/>
        <family val="0"/>
        <charset val="1"/>
      </rPr>
      <t xml:space="preserve">FFN intermediate</t>
    </r>
  </si>
  <si>
    <r>
      <rPr>
        <sz val="11"/>
        <color rgb="FF595959"/>
        <rFont val="Arial"/>
        <family val="0"/>
        <charset val="1"/>
      </rPr>
      <t xml:space="preserve">Dense MLP intermediate_size, Qwen</t>
    </r>
    <r>
      <rPr>
        <sz val="11"/>
        <color rgb="FF595959"/>
        <rFont val="Noto Sans CJK SC"/>
        <family val="2"/>
      </rPr>
      <t xml:space="preserve">은 </t>
    </r>
    <r>
      <rPr>
        <sz val="11"/>
        <color rgb="FF595959"/>
        <rFont val="Arial"/>
        <family val="0"/>
        <charset val="1"/>
      </rPr>
      <t xml:space="preserve">shared_expert_intermediate_size, Gemma 4</t>
    </r>
    <r>
      <rPr>
        <sz val="11"/>
        <color rgb="FF595959"/>
        <rFont val="Noto Sans CJK SC"/>
        <family val="2"/>
      </rPr>
      <t xml:space="preserve">는 </t>
    </r>
    <r>
      <rPr>
        <sz val="11"/>
        <color rgb="FF595959"/>
        <rFont val="Arial"/>
        <family val="0"/>
        <charset val="1"/>
      </rPr>
      <t xml:space="preserve">MoE </t>
    </r>
    <r>
      <rPr>
        <sz val="11"/>
        <color rgb="FF595959"/>
        <rFont val="Noto Sans CJK SC"/>
        <family val="2"/>
      </rPr>
      <t xml:space="preserve">옆 </t>
    </r>
    <r>
      <rPr>
        <sz val="11"/>
        <color rgb="FF595959"/>
        <rFont val="Arial"/>
        <family val="0"/>
        <charset val="1"/>
      </rPr>
      <t xml:space="preserve">dense MLP. </t>
    </r>
    <r>
      <rPr>
        <sz val="11"/>
        <color rgb="FF595959"/>
        <rFont val="Noto Sans CJK SC"/>
        <family val="2"/>
      </rPr>
      <t xml:space="preserve">없으면 </t>
    </r>
    <r>
      <rPr>
        <sz val="11"/>
        <color rgb="FF595959"/>
        <rFont val="Arial"/>
        <family val="0"/>
        <charset val="1"/>
      </rPr>
      <t xml:space="preserve">0</t>
    </r>
  </si>
  <si>
    <r>
      <rPr>
        <sz val="11"/>
        <rFont val="Arial"/>
        <family val="0"/>
        <charset val="1"/>
      </rPr>
      <t xml:space="preserve">FFN </t>
    </r>
    <r>
      <rPr>
        <sz val="11"/>
        <rFont val="Noto Sans CJK SC"/>
        <family val="2"/>
      </rPr>
      <t xml:space="preserve">행렬 수</t>
    </r>
  </si>
  <si>
    <r>
      <rPr>
        <sz val="11"/>
        <color rgb="FF595959"/>
        <rFont val="Arial"/>
        <family val="0"/>
        <charset val="1"/>
      </rPr>
      <t xml:space="preserve">SwiGLU/GeGLU = 3 (gate, up, down). </t>
    </r>
    <r>
      <rPr>
        <sz val="11"/>
        <color rgb="FF595959"/>
        <rFont val="Noto Sans CJK SC"/>
        <family val="2"/>
      </rPr>
      <t xml:space="preserve">융합된 </t>
    </r>
    <r>
      <rPr>
        <sz val="11"/>
        <color rgb="FF595959"/>
        <rFont val="Arial"/>
        <family val="0"/>
        <charset val="1"/>
      </rPr>
      <t xml:space="preserve">gate_up</t>
    </r>
    <r>
      <rPr>
        <sz val="11"/>
        <color rgb="FF595959"/>
        <rFont val="Noto Sans CJK SC"/>
        <family val="2"/>
      </rPr>
      <t xml:space="preserve">도 </t>
    </r>
    <r>
      <rPr>
        <sz val="11"/>
        <color rgb="FF595959"/>
        <rFont val="Arial"/>
        <family val="0"/>
        <charset val="1"/>
      </rPr>
      <t xml:space="preserve">3</t>
    </r>
    <r>
      <rPr>
        <sz val="11"/>
        <color rgb="FF595959"/>
        <rFont val="Noto Sans CJK SC"/>
        <family val="2"/>
      </rPr>
      <t xml:space="preserve">으로 계산</t>
    </r>
  </si>
  <si>
    <r>
      <rPr>
        <sz val="11"/>
        <rFont val="Arial"/>
        <family val="0"/>
        <charset val="1"/>
      </rPr>
      <t xml:space="preserve">Routed expert </t>
    </r>
    <r>
      <rPr>
        <sz val="11"/>
        <rFont val="Noto Sans CJK SC"/>
        <family val="2"/>
      </rPr>
      <t xml:space="preserve">수</t>
    </r>
  </si>
  <si>
    <t xml:space="preserve">num_local_experts / num_experts (Dense = 0)</t>
  </si>
  <si>
    <r>
      <rPr>
        <sz val="11"/>
        <rFont val="Noto Sans CJK SC"/>
        <family val="2"/>
      </rPr>
      <t xml:space="preserve">토큰당 활성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수</t>
    </r>
  </si>
  <si>
    <t xml:space="preserve">num_experts_per_tok / top_k_experts (Dense = 0)</t>
  </si>
  <si>
    <t xml:space="preserve">Expert intermediate</t>
  </si>
  <si>
    <r>
      <rPr>
        <sz val="11"/>
        <color rgb="FF595959"/>
        <rFont val="Arial"/>
        <family val="0"/>
        <charset val="1"/>
      </rPr>
      <t xml:space="preserve">moe_intermediate_size (gpt-oss</t>
    </r>
    <r>
      <rPr>
        <sz val="11"/>
        <color rgb="FF595959"/>
        <rFont val="Noto Sans CJK SC"/>
        <family val="2"/>
      </rPr>
      <t xml:space="preserve">는 </t>
    </r>
    <r>
      <rPr>
        <sz val="11"/>
        <color rgb="FF595959"/>
        <rFont val="Arial"/>
        <family val="0"/>
        <charset val="1"/>
      </rPr>
      <t xml:space="preserve">intermediate_size)</t>
    </r>
  </si>
  <si>
    <r>
      <rPr>
        <i val="true"/>
        <sz val="11"/>
        <color rgb="FF595959"/>
        <rFont val="Noto Sans CJK SC"/>
        <family val="2"/>
      </rPr>
      <t xml:space="preserve">출처 </t>
    </r>
    <r>
      <rPr>
        <i val="true"/>
        <sz val="11"/>
        <color rgb="FF595959"/>
        <rFont val="Arial"/>
        <family val="0"/>
        <charset val="1"/>
      </rPr>
      <t xml:space="preserve">(2026-10-01 </t>
    </r>
    <r>
      <rPr>
        <i val="true"/>
        <sz val="11"/>
        <color rgb="FF595959"/>
        <rFont val="Noto Sans CJK SC"/>
        <family val="2"/>
      </rPr>
      <t xml:space="preserve">확인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구조는 </t>
    </r>
    <r>
      <rPr>
        <i val="true"/>
        <sz val="11"/>
        <color rgb="FF595959"/>
        <rFont val="Arial"/>
        <family val="0"/>
        <charset val="1"/>
      </rPr>
      <t xml:space="preserve">transformers main </t>
    </r>
    <r>
      <rPr>
        <i val="true"/>
        <sz val="11"/>
        <color rgb="FF595959"/>
        <rFont val="Noto Sans CJK SC"/>
        <family val="2"/>
      </rPr>
      <t xml:space="preserve">브랜치 </t>
    </r>
    <r>
      <rPr>
        <i val="true"/>
        <sz val="11"/>
        <color rgb="FF595959"/>
        <rFont val="Arial"/>
        <family val="0"/>
        <charset val="1"/>
      </rPr>
      <t xml:space="preserve">modeling </t>
    </r>
    <r>
      <rPr>
        <i val="true"/>
        <sz val="11"/>
        <color rgb="FF595959"/>
        <rFont val="Noto Sans CJK SC"/>
        <family val="2"/>
      </rPr>
      <t xml:space="preserve">코드로 교차 확인</t>
    </r>
    <r>
      <rPr>
        <i val="true"/>
        <sz val="11"/>
        <color rgb="FF595959"/>
        <rFont val="Arial"/>
        <family val="0"/>
        <charset val="1"/>
      </rPr>
      <t xml:space="preserve">):</t>
    </r>
  </si>
  <si>
    <r>
      <rPr>
        <i val="true"/>
        <sz val="11"/>
        <color rgb="FF595959"/>
        <rFont val="Arial"/>
        <family val="0"/>
        <charset val="1"/>
      </rPr>
      <t xml:space="preserve">  Llama 3.1 8B Instruct: huggingface.co/meta-llama/Llama-3.1-8B-Instruct (gated, </t>
    </r>
    <r>
      <rPr>
        <i val="true"/>
        <sz val="11"/>
        <color rgb="FF595959"/>
        <rFont val="Noto Sans CJK SC"/>
        <family val="2"/>
      </rPr>
      <t xml:space="preserve">공개 미러 </t>
    </r>
    <r>
      <rPr>
        <i val="true"/>
        <sz val="11"/>
        <color rgb="FF595959"/>
        <rFont val="Arial"/>
        <family val="0"/>
        <charset val="1"/>
      </rPr>
      <t xml:space="preserve">unsloth/Llama-3.1-8B-Instruct</t>
    </r>
    <r>
      <rPr>
        <i val="true"/>
        <sz val="11"/>
        <color rgb="FF595959"/>
        <rFont val="Noto Sans CJK SC"/>
        <family val="2"/>
      </rPr>
      <t xml:space="preserve">의 동일 </t>
    </r>
    <r>
      <rPr>
        <i val="true"/>
        <sz val="11"/>
        <color rgb="FF595959"/>
        <rFont val="Arial"/>
        <family val="0"/>
        <charset val="1"/>
      </rPr>
      <t xml:space="preserve">config</t>
    </r>
    <r>
      <rPr>
        <i val="true"/>
        <sz val="11"/>
        <color rgb="FF595959"/>
        <rFont val="Noto Sans CJK SC"/>
        <family val="2"/>
      </rPr>
      <t xml:space="preserve">로 확인</t>
    </r>
    <r>
      <rPr>
        <i val="true"/>
        <sz val="11"/>
        <color rgb="FF595959"/>
        <rFont val="Arial"/>
        <family val="0"/>
        <charset val="1"/>
      </rPr>
      <t xml:space="preserve">)</t>
    </r>
  </si>
  <si>
    <t xml:space="preserve">  gpt-oss-20b: huggingface.co/openai/gpt-oss-20b</t>
  </si>
  <si>
    <r>
      <rPr>
        <i val="true"/>
        <sz val="11"/>
        <color rgb="FF595959"/>
        <rFont val="Arial"/>
        <family val="0"/>
        <charset val="1"/>
      </rPr>
      <t xml:space="preserve">  Qwen3.6-35B-A3B: huggingface.co/Qwen/Qwen3.6-35B-A3B (text_config). vision tower, MTP layer</t>
    </r>
    <r>
      <rPr>
        <i val="true"/>
        <sz val="11"/>
        <color rgb="FF595959"/>
        <rFont val="Noto Sans CJK SC"/>
        <family val="2"/>
      </rPr>
      <t xml:space="preserve">는 제외</t>
    </r>
  </si>
  <si>
    <r>
      <rPr>
        <i val="true"/>
        <sz val="11"/>
        <color rgb="FF595959"/>
        <rFont val="Arial"/>
        <family val="0"/>
        <charset val="1"/>
      </rPr>
      <t xml:space="preserve">  Gemma 4 26B-A4B: huggingface.co/google/gemma-4-26b-a4b (text_config). vision/audio tower</t>
    </r>
    <r>
      <rPr>
        <i val="true"/>
        <sz val="11"/>
        <color rgb="FF595959"/>
        <rFont val="Noto Sans CJK SC"/>
        <family val="2"/>
      </rPr>
      <t xml:space="preserve">는 제외</t>
    </r>
  </si>
  <si>
    <r>
      <rPr>
        <i val="true"/>
        <sz val="11"/>
        <color rgb="FF595959"/>
        <rFont val="Arial"/>
        <family val="0"/>
        <charset val="1"/>
      </rPr>
      <t xml:space="preserve">  Llama 3.2 3B Instruct: huggingface.co/meta-llama/Llama-3.2-3B-Instruct (unsloth </t>
    </r>
    <r>
      <rPr>
        <i val="true"/>
        <sz val="11"/>
        <color rgb="FF595959"/>
        <rFont val="Noto Sans CJK SC"/>
        <family val="2"/>
      </rPr>
      <t xml:space="preserve">미러로 확인</t>
    </r>
    <r>
      <rPr>
        <i val="true"/>
        <sz val="11"/>
        <color rgb="FF595959"/>
        <rFont val="Arial"/>
        <family val="0"/>
        <charset val="1"/>
      </rPr>
      <t xml:space="preserve">)</t>
    </r>
  </si>
  <si>
    <r>
      <rPr>
        <i val="true"/>
        <sz val="11"/>
        <color rgb="FF595959"/>
        <rFont val="Arial"/>
        <family val="0"/>
        <charset val="1"/>
      </rPr>
      <t xml:space="preserve">  bias, norm </t>
    </r>
    <r>
      <rPr>
        <i val="true"/>
        <sz val="11"/>
        <color rgb="FF595959"/>
        <rFont val="Noto Sans CJK SC"/>
        <family val="2"/>
      </rPr>
      <t xml:space="preserve">가중치</t>
    </r>
    <r>
      <rPr>
        <i val="true"/>
        <sz val="11"/>
        <color rgb="FF595959"/>
        <rFont val="Arial"/>
        <family val="0"/>
        <charset val="1"/>
      </rPr>
      <t xml:space="preserve">, attention sink, GDN conv1d/A_log/dt_bias, shared_expert_gate </t>
    </r>
    <r>
      <rPr>
        <i val="true"/>
        <sz val="11"/>
        <color rgb="FF595959"/>
        <rFont val="Noto Sans CJK SC"/>
        <family val="2"/>
      </rPr>
      <t xml:space="preserve">등 미미한 항목은 파라미터 수에서 제외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</si>
  <si>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Layer </t>
    </r>
    <r>
      <rPr>
        <sz val="11"/>
        <rFont val="Noto Sans CJK SC"/>
        <family val="2"/>
      </rPr>
      <t xml:space="preserve">수 검증</t>
    </r>
  </si>
  <si>
    <r>
      <rPr>
        <sz val="11"/>
        <color rgb="FF595959"/>
        <rFont val="Arial"/>
        <family val="0"/>
        <charset val="1"/>
      </rPr>
      <t xml:space="preserve">full + sliding + linear = </t>
    </r>
    <r>
      <rPr>
        <sz val="11"/>
        <color rgb="FF595959"/>
        <rFont val="Noto Sans CJK SC"/>
        <family val="2"/>
      </rPr>
      <t xml:space="preserve">전체 </t>
    </r>
    <r>
      <rPr>
        <sz val="11"/>
        <color rgb="FF595959"/>
        <rFont val="Arial"/>
        <family val="0"/>
        <charset val="1"/>
      </rPr>
      <t xml:space="preserve">layer </t>
    </r>
    <r>
      <rPr>
        <sz val="11"/>
        <color rgb="FF595959"/>
        <rFont val="Noto Sans CJK SC"/>
        <family val="2"/>
      </rPr>
      <t xml:space="preserve">수</t>
    </r>
  </si>
  <si>
    <r>
      <rPr>
        <sz val="11"/>
        <rFont val="Arial"/>
        <family val="0"/>
        <charset val="1"/>
      </rPr>
      <t xml:space="preserve">MoE layer </t>
    </r>
    <r>
      <rPr>
        <sz val="11"/>
        <rFont val="Noto Sans CJK SC"/>
        <family val="2"/>
      </rPr>
      <t xml:space="preserve">수</t>
    </r>
  </si>
  <si>
    <r>
      <rPr>
        <sz val="11"/>
        <color rgb="FF595959"/>
        <rFont val="Arial"/>
        <family val="0"/>
        <charset val="1"/>
      </rPr>
      <t xml:space="preserve">top-k </t>
    </r>
    <r>
      <rPr>
        <sz val="11"/>
        <color rgb="FF595959"/>
        <rFont val="Noto Sans CJK SC"/>
        <family val="2"/>
      </rPr>
      <t xml:space="preserve">오버헤드 발생 횟수</t>
    </r>
  </si>
  <si>
    <r>
      <rPr>
        <sz val="11"/>
        <rFont val="Arial"/>
        <family val="0"/>
        <charset val="1"/>
      </rPr>
      <t xml:space="preserve">Full attention </t>
    </r>
    <r>
      <rPr>
        <sz val="11"/>
        <rFont val="Noto Sans CJK SC"/>
        <family val="2"/>
      </rPr>
      <t xml:space="preserve">파라미터</t>
    </r>
    <r>
      <rPr>
        <sz val="11"/>
        <rFont val="Arial"/>
        <family val="0"/>
        <charset val="1"/>
      </rPr>
      <t xml:space="preserve">/layer</t>
    </r>
  </si>
  <si>
    <r>
      <rPr>
        <sz val="11"/>
        <rFont val="Arial"/>
        <family val="0"/>
        <charset val="1"/>
      </rPr>
      <t xml:space="preserve">Sliding attention </t>
    </r>
    <r>
      <rPr>
        <sz val="11"/>
        <rFont val="Noto Sans CJK SC"/>
        <family val="2"/>
      </rPr>
      <t xml:space="preserve">파라미터</t>
    </r>
    <r>
      <rPr>
        <sz val="11"/>
        <rFont val="Arial"/>
        <family val="0"/>
        <charset val="1"/>
      </rPr>
      <t xml:space="preserve">/layer</t>
    </r>
  </si>
  <si>
    <r>
      <rPr>
        <sz val="11"/>
        <rFont val="Arial"/>
        <family val="0"/>
        <charset val="1"/>
      </rPr>
      <t xml:space="preserve">GDN conv </t>
    </r>
    <r>
      <rPr>
        <sz val="11"/>
        <rFont val="Noto Sans CJK SC"/>
        <family val="2"/>
      </rPr>
      <t xml:space="preserve">채널 수</t>
    </r>
  </si>
  <si>
    <r>
      <rPr>
        <sz val="11"/>
        <color rgb="FF595959"/>
        <rFont val="Arial"/>
        <family val="0"/>
        <charset val="1"/>
      </rPr>
      <t xml:space="preserve">q, k, v </t>
    </r>
    <r>
      <rPr>
        <sz val="11"/>
        <color rgb="FF595959"/>
        <rFont val="Noto Sans CJK SC"/>
        <family val="2"/>
      </rPr>
      <t xml:space="preserve">채널 합</t>
    </r>
  </si>
  <si>
    <r>
      <rPr>
        <sz val="11"/>
        <rFont val="Arial"/>
        <family val="0"/>
        <charset val="1"/>
      </rPr>
      <t xml:space="preserve">Linear attn (GDN) </t>
    </r>
    <r>
      <rPr>
        <sz val="11"/>
        <rFont val="Noto Sans CJK SC"/>
        <family val="2"/>
      </rPr>
      <t xml:space="preserve">파라미터</t>
    </r>
    <r>
      <rPr>
        <sz val="11"/>
        <rFont val="Arial"/>
        <family val="0"/>
        <charset val="1"/>
      </rPr>
      <t xml:space="preserve">/layer</t>
    </r>
  </si>
  <si>
    <t xml:space="preserve">in_proj_qkv, z, a, b + out_proj</t>
  </si>
  <si>
    <r>
      <rPr>
        <sz val="11"/>
        <rFont val="Noto Sans CJK SC"/>
        <family val="2"/>
      </rPr>
      <t xml:space="preserve">항상 활성 </t>
    </r>
    <r>
      <rPr>
        <sz val="11"/>
        <rFont val="Arial"/>
        <family val="0"/>
        <charset val="1"/>
      </rPr>
      <t xml:space="preserve">FFN </t>
    </r>
    <r>
      <rPr>
        <sz val="11"/>
        <rFont val="Noto Sans CJK SC"/>
        <family val="2"/>
      </rPr>
      <t xml:space="preserve">파라미터</t>
    </r>
    <r>
      <rPr>
        <sz val="11"/>
        <rFont val="Arial"/>
        <family val="0"/>
        <charset val="1"/>
      </rPr>
      <t xml:space="preserve">/layer</t>
    </r>
  </si>
  <si>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파라미터</t>
    </r>
    <r>
      <rPr>
        <sz val="11"/>
        <rFont val="Arial"/>
        <family val="0"/>
        <charset val="1"/>
      </rPr>
      <t xml:space="preserve">/expert/layer</t>
    </r>
  </si>
  <si>
    <r>
      <rPr>
        <sz val="11"/>
        <rFont val="Arial"/>
        <family val="0"/>
        <charset val="1"/>
      </rPr>
      <t xml:space="preserve">Router </t>
    </r>
    <r>
      <rPr>
        <sz val="11"/>
        <rFont val="Noto Sans CJK SC"/>
        <family val="2"/>
      </rPr>
      <t xml:space="preserve">파라미터</t>
    </r>
    <r>
      <rPr>
        <sz val="11"/>
        <rFont val="Arial"/>
        <family val="0"/>
        <charset val="1"/>
      </rPr>
      <t xml:space="preserve">/layer</t>
    </r>
  </si>
  <si>
    <r>
      <rPr>
        <sz val="11"/>
        <rFont val="Arial"/>
        <family val="0"/>
        <charset val="1"/>
      </rPr>
      <t xml:space="preserve">LM head </t>
    </r>
    <r>
      <rPr>
        <sz val="11"/>
        <rFont val="Noto Sans CJK SC"/>
        <family val="2"/>
      </rPr>
      <t xml:space="preserve">파라미터</t>
    </r>
  </si>
  <si>
    <r>
      <rPr>
        <sz val="11"/>
        <rFont val="Noto Sans CJK SC"/>
        <family val="2"/>
      </rPr>
      <t xml:space="preserve">임베딩 파라미터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별도 저장분</t>
    </r>
    <r>
      <rPr>
        <sz val="11"/>
        <rFont val="Arial"/>
        <family val="0"/>
        <charset val="1"/>
      </rPr>
      <t xml:space="preserve">)</t>
    </r>
  </si>
  <si>
    <r>
      <rPr>
        <sz val="11"/>
        <color rgb="FF595959"/>
        <rFont val="Noto Sans CJK SC"/>
        <family val="2"/>
      </rPr>
      <t xml:space="preserve">공유</t>
    </r>
    <r>
      <rPr>
        <sz val="11"/>
        <color rgb="FF595959"/>
        <rFont val="Arial"/>
        <family val="0"/>
        <charset val="1"/>
      </rPr>
      <t xml:space="preserve">(tied)</t>
    </r>
    <r>
      <rPr>
        <sz val="11"/>
        <color rgb="FF595959"/>
        <rFont val="Noto Sans CJK SC"/>
        <family val="2"/>
      </rPr>
      <t xml:space="preserve">면 </t>
    </r>
    <r>
      <rPr>
        <sz val="11"/>
        <color rgb="FF595959"/>
        <rFont val="Arial"/>
        <family val="0"/>
        <charset val="1"/>
      </rPr>
      <t xml:space="preserve">0</t>
    </r>
  </si>
  <si>
    <r>
      <rPr>
        <sz val="11"/>
        <rFont val="Noto Sans CJK SC"/>
        <family val="2"/>
      </rPr>
      <t xml:space="preserve">총 파라미터 </t>
    </r>
    <r>
      <rPr>
        <sz val="11"/>
        <rFont val="Arial"/>
        <family val="0"/>
        <charset val="1"/>
      </rPr>
      <t xml:space="preserve">(B)</t>
    </r>
  </si>
  <si>
    <r>
      <rPr>
        <sz val="11"/>
        <color rgb="FF595959"/>
        <rFont val="Noto Sans CJK SC"/>
        <family val="2"/>
      </rPr>
      <t xml:space="preserve">공식</t>
    </r>
    <r>
      <rPr>
        <sz val="11"/>
        <color rgb="FF595959"/>
        <rFont val="Arial"/>
        <family val="0"/>
        <charset val="1"/>
      </rPr>
      <t xml:space="preserve">: Llama 8B 8.0 / gpt-oss 21 / Qwen3.6 35 / Gemma 4 25.2 / Llama 3B 3.2</t>
    </r>
  </si>
  <si>
    <r>
      <rPr>
        <sz val="11"/>
        <rFont val="Noto Sans CJK SC"/>
        <family val="2"/>
      </rPr>
      <t xml:space="preserve">토큰당 활성 파라미터 </t>
    </r>
    <r>
      <rPr>
        <sz val="11"/>
        <rFont val="Arial"/>
        <family val="0"/>
        <charset val="1"/>
      </rPr>
      <t xml:space="preserve">(B)</t>
    </r>
  </si>
  <si>
    <r>
      <rPr>
        <sz val="11"/>
        <color rgb="FF595959"/>
        <rFont val="Noto Sans CJK SC"/>
        <family val="2"/>
      </rPr>
      <t xml:space="preserve">공식</t>
    </r>
    <r>
      <rPr>
        <sz val="11"/>
        <color rgb="FF595959"/>
        <rFont val="Arial"/>
        <family val="0"/>
        <charset val="1"/>
      </rPr>
      <t xml:space="preserve">: gpt-oss 3.6 / Qwen3.6 3 / Gemma 4 3.8 (</t>
    </r>
    <r>
      <rPr>
        <sz val="11"/>
        <color rgb="FF595959"/>
        <rFont val="Noto Sans CJK SC"/>
        <family val="2"/>
      </rPr>
      <t xml:space="preserve">임베딩 제외 기준</t>
    </r>
    <r>
      <rPr>
        <sz val="11"/>
        <color rgb="FF595959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</si>
  <si>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경량화 후 가중치 저장 크기 </t>
    </r>
    <r>
      <rPr>
        <sz val="11"/>
        <rFont val="Arial"/>
        <family val="0"/>
        <charset val="1"/>
      </rPr>
      <t xml:space="preserve">(GB)</t>
    </r>
  </si>
  <si>
    <r>
      <rPr>
        <sz val="11"/>
        <color rgb="FF595959"/>
        <rFont val="Noto Sans CJK SC"/>
        <family val="2"/>
      </rPr>
      <t xml:space="preserve">구분별 </t>
    </r>
    <r>
      <rPr>
        <sz val="11"/>
        <color rgb="FF595959"/>
        <rFont val="Arial"/>
        <family val="0"/>
        <charset val="1"/>
      </rPr>
      <t xml:space="preserve">bit </t>
    </r>
    <r>
      <rPr>
        <sz val="11"/>
        <color rgb="FF595959"/>
        <rFont val="Noto Sans CJK SC"/>
        <family val="2"/>
      </rPr>
      <t xml:space="preserve">적용</t>
    </r>
  </si>
  <si>
    <r>
      <rPr>
        <sz val="11"/>
        <rFont val="Arial"/>
        <family val="0"/>
        <charset val="1"/>
      </rPr>
      <t xml:space="preserve">KV cache + GDN state @ </t>
    </r>
    <r>
      <rPr>
        <sz val="11"/>
        <rFont val="Noto Sans CJK SC"/>
        <family val="2"/>
      </rPr>
      <t xml:space="preserve">최대 입력 길이 </t>
    </r>
    <r>
      <rPr>
        <sz val="11"/>
        <rFont val="Arial"/>
        <family val="0"/>
        <charset val="1"/>
      </rPr>
      <t xml:space="preserve">(MB)</t>
    </r>
  </si>
  <si>
    <r>
      <rPr>
        <sz val="11"/>
        <color rgb="FF595959"/>
        <rFont val="Arial"/>
        <family val="0"/>
        <charset val="1"/>
      </rPr>
      <t xml:space="preserve">sliding</t>
    </r>
    <r>
      <rPr>
        <sz val="11"/>
        <color rgb="FF595959"/>
        <rFont val="Noto Sans CJK SC"/>
        <family val="2"/>
      </rPr>
      <t xml:space="preserve">은 </t>
    </r>
    <r>
      <rPr>
        <sz val="11"/>
        <color rgb="FF595959"/>
        <rFont val="Arial"/>
        <family val="0"/>
        <charset val="1"/>
      </rPr>
      <t xml:space="preserve">window</t>
    </r>
    <r>
      <rPr>
        <sz val="11"/>
        <color rgb="FF595959"/>
        <rFont val="Noto Sans CJK SC"/>
        <family val="2"/>
      </rPr>
      <t xml:space="preserve">까지만</t>
    </r>
    <r>
      <rPr>
        <sz val="11"/>
        <color rgb="FF595959"/>
        <rFont val="Arial"/>
        <family val="0"/>
        <charset val="1"/>
      </rPr>
      <t xml:space="preserve">, GDN state</t>
    </r>
    <r>
      <rPr>
        <sz val="11"/>
        <color rgb="FF595959"/>
        <rFont val="Noto Sans CJK SC"/>
        <family val="2"/>
      </rPr>
      <t xml:space="preserve">는 길이와 무관하게 고정</t>
    </r>
  </si>
  <si>
    <r>
      <rPr>
        <sz val="11"/>
        <rFont val="Arial"/>
        <family val="0"/>
        <charset val="1"/>
      </rPr>
      <t xml:space="preserve">GDN state </t>
    </r>
    <r>
      <rPr>
        <sz val="11"/>
        <rFont val="Noto Sans CJK SC"/>
        <family val="2"/>
      </rPr>
      <t xml:space="preserve">크기</t>
    </r>
    <r>
      <rPr>
        <sz val="11"/>
        <rFont val="Arial"/>
        <family val="0"/>
        <charset val="1"/>
      </rPr>
      <t xml:space="preserve">/layer (MB)</t>
    </r>
  </si>
  <si>
    <t xml:space="preserve">디코드 시 토큰마다 읽고 다시 씀</t>
  </si>
  <si>
    <r>
      <rPr>
        <b val="true"/>
        <sz val="14"/>
        <rFont val="Arial"/>
        <family val="0"/>
        <charset val="1"/>
      </rPr>
      <t xml:space="preserve">MoE </t>
    </r>
    <r>
      <rPr>
        <b val="true"/>
        <sz val="14"/>
        <rFont val="Noto Sans CJK SC"/>
        <family val="2"/>
      </rPr>
      <t xml:space="preserve">프리필 </t>
    </r>
    <r>
      <rPr>
        <b val="true"/>
        <sz val="14"/>
        <rFont val="Arial"/>
        <family val="0"/>
        <charset val="1"/>
      </rPr>
      <t xml:space="preserve">expert </t>
    </r>
    <r>
      <rPr>
        <b val="true"/>
        <sz val="14"/>
        <rFont val="Noto Sans CJK SC"/>
        <family val="2"/>
      </rPr>
      <t xml:space="preserve">사용 수 — 실측값 입력</t>
    </r>
  </si>
  <si>
    <r>
      <rPr>
        <i val="true"/>
        <sz val="11"/>
        <color rgb="FF595959"/>
        <rFont val="Arial"/>
        <family val="0"/>
        <charset val="1"/>
      </rPr>
      <t xml:space="preserve">moe_routing_stats.py </t>
    </r>
    <r>
      <rPr>
        <i val="true"/>
        <sz val="11"/>
        <color rgb="FF595959"/>
        <rFont val="Noto Sans CJK SC"/>
        <family val="2"/>
      </rPr>
      <t xml:space="preserve">결과의 </t>
    </r>
    <r>
      <rPr>
        <i val="true"/>
        <sz val="11"/>
        <color rgb="FF595959"/>
        <rFont val="Arial"/>
        <family val="0"/>
        <charset val="1"/>
      </rPr>
      <t xml:space="preserve">excel_paste_&lt;</t>
    </r>
    <r>
      <rPr>
        <i val="true"/>
        <sz val="11"/>
        <color rgb="FF595959"/>
        <rFont val="Noto Sans CJK SC"/>
        <family val="2"/>
      </rPr>
      <t xml:space="preserve">모델</t>
    </r>
    <r>
      <rPr>
        <i val="true"/>
        <sz val="11"/>
        <color rgb="FF595959"/>
        <rFont val="Arial"/>
        <family val="0"/>
        <charset val="1"/>
      </rPr>
      <t xml:space="preserve">&gt;.csv </t>
    </r>
    <r>
      <rPr>
        <i val="true"/>
        <sz val="11"/>
        <color rgb="FF595959"/>
        <rFont val="Noto Sans CJK SC"/>
        <family val="2"/>
      </rPr>
      <t xml:space="preserve">중 </t>
    </r>
    <r>
      <rPr>
        <i val="true"/>
        <sz val="11"/>
        <color rgb="FF595959"/>
        <rFont val="Arial"/>
        <family val="0"/>
        <charset val="1"/>
      </rPr>
      <t xml:space="preserve">measured_used_layer_avg </t>
    </r>
    <r>
      <rPr>
        <i val="true"/>
        <sz val="11"/>
        <color rgb="FF595959"/>
        <rFont val="Noto Sans CJK SC"/>
        <family val="2"/>
      </rPr>
      <t xml:space="preserve">열을 해당 모델 칸에 붙여 넣으세요</t>
    </r>
    <r>
      <rPr>
        <i val="true"/>
        <sz val="11"/>
        <color rgb="FF595959"/>
        <rFont val="Arial"/>
        <family val="0"/>
        <charset val="1"/>
      </rPr>
      <t xml:space="preserve">. '</t>
    </r>
    <r>
      <rPr>
        <i val="true"/>
        <sz val="11"/>
        <color rgb="FF595959"/>
        <rFont val="Noto Sans CJK SC"/>
        <family val="2"/>
      </rPr>
      <t xml:space="preserve">설정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시트의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프리필 </t>
    </r>
    <r>
      <rPr>
        <i val="true"/>
        <sz val="11"/>
        <color rgb="FF595959"/>
        <rFont val="Arial"/>
        <family val="0"/>
        <charset val="1"/>
      </rPr>
      <t xml:space="preserve">expert </t>
    </r>
    <r>
      <rPr>
        <i val="true"/>
        <sz val="11"/>
        <color rgb="FF595959"/>
        <rFont val="Noto Sans CJK SC"/>
        <family val="2"/>
      </rPr>
      <t xml:space="preserve">사용 수 기준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을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실측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으로 바꾸면 적용됩니다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빈 칸은 균등 공식으로 계산합니다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</si>
  <si>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현재 기준</t>
  </si>
  <si>
    <r>
      <rPr>
        <b val="true"/>
        <sz val="11"/>
        <rFont val="Noto Sans CJK SC"/>
        <family val="2"/>
      </rPr>
      <t xml:space="preserve">① 실측 사용 </t>
    </r>
    <r>
      <rPr>
        <b val="true"/>
        <sz val="11"/>
        <rFont val="Arial"/>
        <family val="0"/>
        <charset val="1"/>
      </rPr>
      <t xml:space="preserve">expert </t>
    </r>
    <r>
      <rPr>
        <b val="true"/>
        <sz val="11"/>
        <rFont val="Noto Sans CJK SC"/>
        <family val="2"/>
      </rPr>
      <t xml:space="preserve">수 </t>
    </r>
    <r>
      <rPr>
        <b val="true"/>
        <sz val="11"/>
        <rFont val="Arial"/>
        <family val="0"/>
        <charset val="1"/>
      </rPr>
      <t xml:space="preserve">(layer </t>
    </r>
    <r>
      <rPr>
        <b val="true"/>
        <sz val="11"/>
        <rFont val="Noto Sans CJK SC"/>
        <family val="2"/>
      </rPr>
      <t xml:space="preserve">평균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도메인별 </t>
    </r>
    <r>
      <rPr>
        <b val="true"/>
        <sz val="11"/>
        <rFont val="Arial"/>
        <family val="0"/>
        <charset val="1"/>
      </rPr>
      <t xml:space="preserve">p95 </t>
    </r>
    <r>
      <rPr>
        <b val="true"/>
        <sz val="11"/>
        <rFont val="Noto Sans CJK SC"/>
        <family val="2"/>
      </rPr>
      <t xml:space="preserve">중 최댓값</t>
    </r>
    <r>
      <rPr>
        <b val="true"/>
        <sz val="11"/>
        <rFont val="Arial"/>
        <family val="0"/>
        <charset val="1"/>
      </rPr>
      <t xml:space="preserve">) — </t>
    </r>
    <r>
      <rPr>
        <b val="true"/>
        <sz val="11"/>
        <rFont val="Noto Sans CJK SC"/>
        <family val="2"/>
      </rPr>
      <t xml:space="preserve">직접 입력</t>
    </r>
  </si>
  <si>
    <r>
      <rPr>
        <b val="true"/>
        <sz val="11"/>
        <rFont val="Noto Sans CJK SC"/>
        <family val="2"/>
      </rPr>
      <t xml:space="preserve">② 균등 가정 사용 </t>
    </r>
    <r>
      <rPr>
        <b val="true"/>
        <sz val="11"/>
        <rFont val="Arial"/>
        <family val="0"/>
        <charset val="1"/>
      </rPr>
      <t xml:space="preserve">expert </t>
    </r>
    <r>
      <rPr>
        <b val="true"/>
        <sz val="11"/>
        <rFont val="Noto Sans CJK SC"/>
        <family val="2"/>
      </rPr>
      <t xml:space="preserve">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참고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자동 계산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</si>
  <si>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③ 실제 계산에 적용되는 사용 비율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자동 계산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</si>
  <si>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Arial"/>
        <family val="0"/>
        <charset val="1"/>
      </rPr>
      <t xml:space="preserve">Dense </t>
    </r>
    <r>
      <rPr>
        <i val="true"/>
        <sz val="11"/>
        <color rgb="FF595959"/>
        <rFont val="Noto Sans CJK SC"/>
        <family val="2"/>
      </rPr>
      <t xml:space="preserve">모델</t>
    </r>
    <r>
      <rPr>
        <i val="true"/>
        <sz val="11"/>
        <color rgb="FF595959"/>
        <rFont val="Arial"/>
        <family val="0"/>
        <charset val="1"/>
      </rPr>
      <t xml:space="preserve">(Expert </t>
    </r>
    <r>
      <rPr>
        <i val="true"/>
        <sz val="11"/>
        <color rgb="FF595959"/>
        <rFont val="Noto Sans CJK SC"/>
        <family val="2"/>
      </rPr>
      <t xml:space="preserve">수 </t>
    </r>
    <r>
      <rPr>
        <i val="true"/>
        <sz val="11"/>
        <color rgb="FF595959"/>
        <rFont val="Arial"/>
        <family val="0"/>
        <charset val="1"/>
      </rPr>
      <t xml:space="preserve">0)</t>
    </r>
    <r>
      <rPr>
        <i val="true"/>
        <sz val="11"/>
        <color rgb="FF595959"/>
        <rFont val="Noto Sans CJK SC"/>
        <family val="2"/>
      </rPr>
      <t xml:space="preserve">은 입력해도 무시됩니다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실측값은 </t>
    </r>
    <r>
      <rPr>
        <i val="true"/>
        <sz val="11"/>
        <color rgb="FF595959"/>
        <rFont val="Arial"/>
        <family val="0"/>
        <charset val="1"/>
      </rPr>
      <t xml:space="preserve">layer</t>
    </r>
    <r>
      <rPr>
        <i val="true"/>
        <sz val="11"/>
        <color rgb="FF595959"/>
        <rFont val="Noto Sans CJK SC"/>
        <family val="2"/>
      </rPr>
      <t xml:space="preserve">별 사용 수의 평균이며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가중치 읽기량은 </t>
    </r>
    <r>
      <rPr>
        <i val="true"/>
        <sz val="11"/>
        <color rgb="FF595959"/>
        <rFont val="Arial"/>
        <family val="0"/>
        <charset val="1"/>
      </rPr>
      <t xml:space="preserve">layer</t>
    </r>
    <r>
      <rPr>
        <i val="true"/>
        <sz val="11"/>
        <color rgb="FF595959"/>
        <rFont val="Noto Sans CJK SC"/>
        <family val="2"/>
      </rPr>
      <t xml:space="preserve">별 사용 수의 합에 비례하므로 평균으로 넣어도 총량은 정확합니다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</si>
  <si>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모든 셀 자동 계산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행렬마다 </t>
    </r>
    <r>
      <rPr>
        <i val="true"/>
        <sz val="11"/>
        <color rgb="FF595959"/>
        <rFont val="Arial"/>
        <family val="0"/>
        <charset val="1"/>
      </rPr>
      <t xml:space="preserve">roofline(</t>
    </r>
    <r>
      <rPr>
        <i val="true"/>
        <sz val="11"/>
        <color rgb="FF595959"/>
        <rFont val="Noto Sans CJK SC"/>
        <family val="2"/>
      </rPr>
      <t xml:space="preserve">연산 시간과 </t>
    </r>
    <r>
      <rPr>
        <i val="true"/>
        <sz val="11"/>
        <color rgb="FF595959"/>
        <rFont val="Arial"/>
        <family val="0"/>
        <charset val="1"/>
      </rPr>
      <t xml:space="preserve">DRAM </t>
    </r>
    <r>
      <rPr>
        <i val="true"/>
        <sz val="11"/>
        <color rgb="FF595959"/>
        <rFont val="Noto Sans CJK SC"/>
        <family val="2"/>
      </rPr>
      <t xml:space="preserve">시간 중 큰 값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을 적용해 합산합니다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개수가 </t>
    </r>
    <r>
      <rPr>
        <i val="true"/>
        <sz val="11"/>
        <color rgb="FF595959"/>
        <rFont val="Arial"/>
        <family val="0"/>
        <charset val="1"/>
      </rPr>
      <t xml:space="preserve">0</t>
    </r>
    <r>
      <rPr>
        <i val="true"/>
        <sz val="11"/>
        <color rgb="FF595959"/>
        <rFont val="Noto Sans CJK SC"/>
        <family val="2"/>
      </rPr>
      <t xml:space="preserve">인 행렬은 해당 블록이 없는 모델입니다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</si>
  <si>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행렬</t>
  </si>
  <si>
    <r>
      <rPr>
        <b val="true"/>
        <sz val="11"/>
        <rFont val="Arial"/>
        <family val="0"/>
        <charset val="1"/>
      </rPr>
      <t xml:space="preserve">K (</t>
    </r>
    <r>
      <rPr>
        <b val="true"/>
        <sz val="11"/>
        <rFont val="Noto Sans CJK SC"/>
        <family val="2"/>
      </rPr>
      <t xml:space="preserve">입력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</si>
  <si>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N (</t>
    </r>
    <r>
      <rPr>
        <b val="true"/>
        <sz val="11"/>
        <rFont val="Noto Sans CJK SC"/>
        <family val="2"/>
      </rPr>
      <t xml:space="preserve">출력</t>
    </r>
    <r>
      <rPr>
        <b val="true"/>
        <sz val="11"/>
        <rFont val="Arial"/>
        <family val="0"/>
        <charset val="1"/>
      </rPr>
      <t xml:space="preserve">)</t>
    </r>
  </si>
  <si>
    <t xml:space="preserve">개수</t>
  </si>
  <si>
    <t xml:space="preserve">종류</t>
  </si>
  <si>
    <t xml:space="preserve">경량화 구분</t>
  </si>
  <si>
    <t xml:space="preserve">B/param</t>
  </si>
  <si>
    <r>
      <rPr>
        <b val="true"/>
        <sz val="11"/>
        <rFont val="Noto Sans CJK SC"/>
        <family val="2"/>
      </rPr>
      <t xml:space="preserve">실효 </t>
    </r>
    <r>
      <rPr>
        <b val="true"/>
        <sz val="11"/>
        <rFont val="Arial"/>
        <family val="0"/>
        <charset val="1"/>
      </rPr>
      <t xml:space="preserve">ops/s</t>
    </r>
  </si>
  <si>
    <t xml:space="preserve">full.q_proj</t>
  </si>
  <si>
    <t xml:space="preserve">dense</t>
  </si>
  <si>
    <t xml:space="preserve">full.k_proj</t>
  </si>
  <si>
    <t xml:space="preserve">full.v_proj</t>
  </si>
  <si>
    <t xml:space="preserve">full.o_proj</t>
  </si>
  <si>
    <t xml:space="preserve">swa.q_proj</t>
  </si>
  <si>
    <t xml:space="preserve">swa.k_proj</t>
  </si>
  <si>
    <t xml:space="preserve">swa.v_proj</t>
  </si>
  <si>
    <t xml:space="preserve">swa.o_proj</t>
  </si>
  <si>
    <t xml:space="preserve">gdn.in_proj_qkv</t>
  </si>
  <si>
    <t xml:space="preserve">gdn.in_proj_z</t>
  </si>
  <si>
    <t xml:space="preserve">gdn.in_proj_ab</t>
  </si>
  <si>
    <t xml:space="preserve">gdn.out_proj</t>
  </si>
  <si>
    <t xml:space="preserve">router</t>
  </si>
  <si>
    <t xml:space="preserve">ffn.gate_proj</t>
  </si>
  <si>
    <t xml:space="preserve">ffn.up_proj</t>
  </si>
  <si>
    <t xml:space="preserve">ffn.down_proj</t>
  </si>
  <si>
    <t xml:space="preserve">expert.gate_proj</t>
  </si>
  <si>
    <t xml:space="preserve">expert</t>
  </si>
  <si>
    <t xml:space="preserve">expert.up_proj</t>
  </si>
  <si>
    <t xml:space="preserve">expert.down_proj</t>
  </si>
  <si>
    <t xml:space="preserve">lm_head</t>
  </si>
  <si>
    <t xml:space="preserve">head</t>
  </si>
  <si>
    <r>
      <rPr>
        <i val="true"/>
        <sz val="11"/>
        <color rgb="FF595959"/>
        <rFont val="Arial"/>
        <family val="0"/>
        <charset val="1"/>
      </rPr>
      <t xml:space="preserve">expert </t>
    </r>
    <r>
      <rPr>
        <i val="true"/>
        <sz val="11"/>
        <color rgb="FF595959"/>
        <rFont val="Noto Sans CJK SC"/>
        <family val="2"/>
      </rPr>
      <t xml:space="preserve">종류는 </t>
    </r>
    <r>
      <rPr>
        <i val="true"/>
        <sz val="11"/>
        <color rgb="FF595959"/>
        <rFont val="Arial"/>
        <family val="0"/>
        <charset val="1"/>
      </rPr>
      <t xml:space="preserve">MoE</t>
    </r>
    <r>
      <rPr>
        <i val="true"/>
        <sz val="11"/>
        <color rgb="FF595959"/>
        <rFont val="Noto Sans CJK SC"/>
        <family val="2"/>
      </rPr>
      <t xml:space="preserve">에서 </t>
    </r>
    <r>
      <rPr>
        <i val="true"/>
        <sz val="11"/>
        <color rgb="FF595959"/>
        <rFont val="Arial"/>
        <family val="0"/>
        <charset val="1"/>
      </rPr>
      <t xml:space="preserve">expert </t>
    </r>
    <r>
      <rPr>
        <i val="true"/>
        <sz val="11"/>
        <color rgb="FF595959"/>
        <rFont val="Noto Sans CJK SC"/>
        <family val="2"/>
      </rPr>
      <t xml:space="preserve">수만큼 존재하며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선택된 </t>
    </r>
    <r>
      <rPr>
        <i val="true"/>
        <sz val="11"/>
        <color rgb="FF595959"/>
        <rFont val="Arial"/>
        <family val="0"/>
        <charset val="1"/>
      </rPr>
      <t xml:space="preserve">expert</t>
    </r>
    <r>
      <rPr>
        <i val="true"/>
        <sz val="11"/>
        <color rgb="FF595959"/>
        <rFont val="Noto Sans CJK SC"/>
        <family val="2"/>
      </rPr>
      <t xml:space="preserve">만 읽고 계산합니다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</si>
  <si>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① 프리필 </t>
    </r>
    <r>
      <rPr>
        <b val="true"/>
        <sz val="11"/>
        <color rgb="FFFFFFFF"/>
        <rFont val="Arial"/>
        <family val="0"/>
        <charset val="1"/>
      </rPr>
      <t xml:space="preserve">(TTFT)</t>
    </r>
  </si>
  <si>
    <r>
      <rPr>
        <b val="true"/>
        <sz val="11"/>
        <rFont val="Noto Sans CJK SC"/>
        <family val="2"/>
      </rPr>
      <t xml:space="preserve">입력 길이 </t>
    </r>
    <r>
      <rPr>
        <b val="true"/>
        <sz val="11"/>
        <rFont val="Arial"/>
        <family val="0"/>
        <charset val="1"/>
      </rPr>
      <t xml:space="preserve">N</t>
    </r>
  </si>
  <si>
    <r>
      <rPr>
        <sz val="11"/>
        <rFont val="Noto Sans CJK SC"/>
        <family val="2"/>
      </rPr>
      <t xml:space="preserve">사용되는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수 </t>
    </r>
    <r>
      <rPr>
        <sz val="11"/>
        <rFont val="Arial"/>
        <family val="0"/>
        <charset val="1"/>
      </rPr>
      <t xml:space="preserve">(layer</t>
    </r>
    <r>
      <rPr>
        <sz val="11"/>
        <rFont val="Noto Sans CJK SC"/>
        <family val="2"/>
      </rPr>
      <t xml:space="preserve">당 기대값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</si>
  <si>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사용 비율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균등 시 </t>
    </r>
    <r>
      <rPr>
        <sz val="11"/>
        <rFont val="Arial"/>
        <family val="0"/>
        <charset val="1"/>
      </rPr>
      <t xml:space="preserve">1−(1−k/E)^N)</t>
    </r>
  </si>
  <si>
    <r>
      <rPr>
        <sz val="11"/>
        <color rgb="FF595959"/>
        <rFont val="Noto Sans CJK SC"/>
        <family val="2"/>
      </rPr>
      <t xml:space="preserve">균등</t>
    </r>
    <r>
      <rPr>
        <sz val="11"/>
        <color rgb="FF595959"/>
        <rFont val="Arial"/>
        <family val="0"/>
        <charset val="1"/>
      </rPr>
      <t xml:space="preserve">: </t>
    </r>
    <r>
      <rPr>
        <sz val="11"/>
        <color rgb="FF595959"/>
        <rFont val="Noto Sans CJK SC"/>
        <family val="2"/>
      </rPr>
      <t xml:space="preserve">토큰 하나가 특정 </t>
    </r>
    <r>
      <rPr>
        <sz val="11"/>
        <color rgb="FF595959"/>
        <rFont val="Arial"/>
        <family val="0"/>
        <charset val="1"/>
      </rPr>
      <t xml:space="preserve">expert</t>
    </r>
    <r>
      <rPr>
        <sz val="11"/>
        <color rgb="FF595959"/>
        <rFont val="Noto Sans CJK SC"/>
        <family val="2"/>
      </rPr>
      <t xml:space="preserve">를 안 고를 확률 </t>
    </r>
    <r>
      <rPr>
        <sz val="11"/>
        <color rgb="FF595959"/>
        <rFont val="Arial"/>
        <family val="0"/>
        <charset val="1"/>
      </rPr>
      <t xml:space="preserve">(1−k/E)</t>
    </r>
    <r>
      <rPr>
        <sz val="11"/>
        <color rgb="FF595959"/>
        <rFont val="Noto Sans CJK SC"/>
        <family val="2"/>
      </rPr>
      <t xml:space="preserve">의 </t>
    </r>
    <r>
      <rPr>
        <sz val="11"/>
        <color rgb="FF595959"/>
        <rFont val="Arial"/>
        <family val="0"/>
        <charset val="1"/>
      </rPr>
      <t xml:space="preserve">N</t>
    </r>
    <r>
      <rPr>
        <sz val="11"/>
        <color rgb="FF595959"/>
        <rFont val="Noto Sans CJK SC"/>
        <family val="2"/>
      </rPr>
      <t xml:space="preserve">제곱</t>
    </r>
    <r>
      <rPr>
        <sz val="11"/>
        <color rgb="FF595959"/>
        <rFont val="Arial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실측 모드면 </t>
    </r>
    <r>
      <rPr>
        <sz val="11"/>
        <color rgb="FF595959"/>
        <rFont val="Arial"/>
        <family val="0"/>
        <charset val="1"/>
      </rPr>
      <t xml:space="preserve">Expert </t>
    </r>
    <r>
      <rPr>
        <sz val="11"/>
        <color rgb="FF595959"/>
        <rFont val="Noto Sans CJK SC"/>
        <family val="2"/>
      </rPr>
      <t xml:space="preserve">실측 시트 값</t>
    </r>
  </si>
  <si>
    <r>
      <rPr>
        <sz val="11"/>
        <rFont val="Arial"/>
        <family val="0"/>
        <charset val="1"/>
      </rPr>
      <t xml:space="preserve">expert</t>
    </r>
    <r>
      <rPr>
        <sz val="11"/>
        <rFont val="Noto Sans CJK SC"/>
        <family val="2"/>
      </rPr>
      <t xml:space="preserve">당 토큰 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평균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</si>
  <si>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full.q_proj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</si>
  <si>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full.q_proj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</si>
  <si>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full.q_proj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</si>
  <si>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full.k_proj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</si>
  <si>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full.k_proj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</si>
  <si>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full.k_proj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</si>
  <si>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full.v_proj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</si>
  <si>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full.v_proj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</si>
  <si>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full.v_proj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</si>
  <si>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full.o_proj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</si>
  <si>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full.o_proj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</si>
  <si>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full.o_proj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</si>
  <si>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swa.q_proj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</si>
  <si>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swa.q_proj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</si>
  <si>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swa.q_proj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</si>
  <si>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swa.k_proj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</si>
  <si>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swa.k_proj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</si>
  <si>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swa.k_proj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</si>
  <si>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swa.v_proj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</si>
  <si>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swa.v_proj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</si>
  <si>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swa.v_proj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</si>
  <si>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swa.o_proj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</si>
  <si>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swa.o_proj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</si>
  <si>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swa.o_proj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</si>
  <si>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gdn.in_proj_qkv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</si>
  <si>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gdn.in_proj_qkv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</si>
  <si>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gdn.in_proj_qkv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</si>
  <si>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gdn.in_proj_z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</si>
  <si>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gdn.in_proj_z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</si>
  <si>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gdn.in_proj_z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</si>
  <si>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gdn.in_proj_ab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</si>
  <si>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gdn.in_proj_ab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</si>
  <si>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gdn.in_proj_ab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</si>
  <si>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gdn.out_proj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</si>
  <si>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gdn.out_proj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</si>
  <si>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gdn.out_proj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</si>
  <si>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router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</si>
  <si>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router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</si>
  <si>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router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</si>
  <si>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ffn.gate_proj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</si>
  <si>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ffn.gate_proj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</si>
  <si>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ffn.gate_proj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</si>
  <si>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ffn.up_proj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</si>
  <si>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ffn.up_proj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</si>
  <si>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ffn.up_proj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</si>
  <si>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ffn.down_proj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</si>
  <si>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ffn.down_proj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</si>
  <si>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ffn.down_proj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</si>
  <si>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expert.gate_proj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</si>
  <si>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expert.gate_proj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</si>
  <si>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expert.gate_proj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</si>
  <si>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expert.up_proj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</si>
  <si>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expert.up_proj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</si>
  <si>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expert.up_proj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</si>
  <si>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expert.down_proj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</si>
  <si>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expert.down_proj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</si>
  <si>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expert.down_proj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</si>
  <si>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lm_head </t>
    </r>
    <r>
      <rPr>
        <sz val="11"/>
        <rFont val="Noto Sans CJK SC"/>
        <family val="2"/>
      </rPr>
      <t xml:space="preserve">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</si>
  <si>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lm_head 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</si>
  <si>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lm_head </t>
    </r>
    <r>
      <rPr>
        <sz val="11"/>
        <rFont val="Noto Sans CJK SC"/>
        <family val="2"/>
      </rPr>
      <t xml:space="preserve">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</si>
  <si>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Causal </t>
    </r>
    <r>
      <rPr>
        <sz val="11"/>
        <rFont val="Noto Sans CJK SC"/>
        <family val="2"/>
      </rPr>
      <t xml:space="preserve">쌍 수 </t>
    </r>
    <r>
      <rPr>
        <sz val="11"/>
        <rFont val="Arial"/>
        <family val="0"/>
        <charset val="1"/>
      </rPr>
      <t xml:space="preserve">(full)</t>
    </r>
  </si>
  <si>
    <r>
      <rPr>
        <sz val="11"/>
        <rFont val="Arial"/>
        <family val="0"/>
        <charset val="1"/>
      </rPr>
      <t xml:space="preserve">Full </t>
    </r>
    <r>
      <rPr>
        <sz val="11"/>
        <rFont val="Noto Sans CJK SC"/>
        <family val="2"/>
      </rPr>
      <t xml:space="preserve">어텐션 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</si>
  <si>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Full </t>
    </r>
    <r>
      <rPr>
        <sz val="11"/>
        <rFont val="Noto Sans CJK SC"/>
        <family val="2"/>
      </rPr>
      <t xml:space="preserve">어텐션 </t>
    </r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</si>
  <si>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Full </t>
    </r>
    <r>
      <rPr>
        <sz val="11"/>
        <rFont val="Noto Sans CJK SC"/>
        <family val="2"/>
      </rPr>
      <t xml:space="preserve">어텐션 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</si>
  <si>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Causal </t>
    </r>
    <r>
      <rPr>
        <sz val="11"/>
        <rFont val="Noto Sans CJK SC"/>
        <family val="2"/>
      </rPr>
      <t xml:space="preserve">쌍 수 </t>
    </r>
    <r>
      <rPr>
        <sz val="11"/>
        <rFont val="Arial"/>
        <family val="0"/>
        <charset val="1"/>
      </rPr>
      <t xml:space="preserve">(sliding)</t>
    </r>
  </si>
  <si>
    <r>
      <rPr>
        <sz val="11"/>
        <rFont val="Arial"/>
        <family val="0"/>
        <charset val="1"/>
      </rPr>
      <t xml:space="preserve">Sliding </t>
    </r>
    <r>
      <rPr>
        <sz val="11"/>
        <rFont val="Noto Sans CJK SC"/>
        <family val="2"/>
      </rPr>
      <t xml:space="preserve">어텐션 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</si>
  <si>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Sliding </t>
    </r>
    <r>
      <rPr>
        <sz val="11"/>
        <rFont val="Noto Sans CJK SC"/>
        <family val="2"/>
      </rPr>
      <t xml:space="preserve">어텐션 </t>
    </r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</si>
  <si>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Sliding </t>
    </r>
    <r>
      <rPr>
        <sz val="11"/>
        <rFont val="Noto Sans CJK SC"/>
        <family val="2"/>
      </rPr>
      <t xml:space="preserve">어텐션 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</si>
  <si>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처리 토큰 수 </t>
    </r>
    <r>
      <rPr>
        <sz val="11"/>
        <rFont val="Arial"/>
        <family val="0"/>
        <charset val="1"/>
      </rPr>
      <t xml:space="preserve">(chunk </t>
    </r>
    <r>
      <rPr>
        <sz val="11"/>
        <rFont val="Noto Sans CJK SC"/>
        <family val="2"/>
      </rPr>
      <t xml:space="preserve">패딩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</si>
  <si>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코어 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</si>
  <si>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코어 </t>
    </r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</si>
  <si>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코어 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</si>
  <si>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MoE top-k </t>
    </r>
    <r>
      <rPr>
        <sz val="11"/>
        <rFont val="Noto Sans CJK SC"/>
        <family val="2"/>
      </rPr>
      <t xml:space="preserve">오버헤드 </t>
    </r>
    <r>
      <rPr>
        <sz val="11"/>
        <rFont val="Arial"/>
        <family val="0"/>
        <charset val="1"/>
      </rPr>
      <t xml:space="preserve">(ms)</t>
    </r>
  </si>
  <si>
    <r>
      <rPr>
        <sz val="11"/>
        <rFont val="Noto Sans CJK SC"/>
        <family val="2"/>
      </rPr>
      <t xml:space="preserve">선형층 합계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</si>
  <si>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Noto Sans CJK SC"/>
        <family val="2"/>
      </rPr>
      <t xml:space="preserve">어텐션 </t>
    </r>
    <r>
      <rPr>
        <sz val="11"/>
        <rFont val="Arial"/>
        <family val="0"/>
        <charset val="1"/>
      </rPr>
      <t xml:space="preserve">+ GDN </t>
    </r>
    <r>
      <rPr>
        <sz val="11"/>
        <rFont val="Noto Sans CJK SC"/>
        <family val="2"/>
      </rPr>
      <t xml:space="preserve">코어 합계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</si>
  <si>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Noto Sans CJK SC"/>
        <family val="2"/>
      </rPr>
      <t xml:space="preserve">순수 연산 시간 합 </t>
    </r>
    <r>
      <rPr>
        <sz val="11"/>
        <rFont val="Arial"/>
        <family val="0"/>
        <charset val="1"/>
      </rPr>
      <t xml:space="preserve">(ms)</t>
    </r>
  </si>
  <si>
    <r>
      <rPr>
        <sz val="11"/>
        <rFont val="Noto Sans CJK SC"/>
        <family val="2"/>
      </rPr>
      <t xml:space="preserve">프리필 총 </t>
    </r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(GB)</t>
    </r>
  </si>
  <si>
    <r>
      <rPr>
        <sz val="11"/>
        <rFont val="Noto Sans CJK SC"/>
        <family val="2"/>
      </rPr>
      <t xml:space="preserve">순수 메모리 시간 합 </t>
    </r>
    <r>
      <rPr>
        <sz val="11"/>
        <rFont val="Arial"/>
        <family val="0"/>
        <charset val="1"/>
      </rPr>
      <t xml:space="preserve">(ms)</t>
    </r>
  </si>
  <si>
    <t xml:space="preserve">주요 병목</t>
  </si>
  <si>
    <r>
      <rPr>
        <sz val="11"/>
        <rFont val="Arial"/>
        <family val="0"/>
        <charset val="1"/>
      </rPr>
      <t xml:space="preserve">TTFT </t>
    </r>
    <r>
      <rPr>
        <sz val="11"/>
        <rFont val="Noto Sans CJK SC"/>
        <family val="2"/>
      </rPr>
      <t xml:space="preserve">중 </t>
    </r>
    <r>
      <rPr>
        <sz val="11"/>
        <rFont val="Arial"/>
        <family val="0"/>
        <charset val="1"/>
      </rPr>
      <t xml:space="preserve">top-k </t>
    </r>
    <r>
      <rPr>
        <sz val="11"/>
        <rFont val="Noto Sans CJK SC"/>
        <family val="2"/>
      </rPr>
      <t xml:space="preserve">비중</t>
    </r>
  </si>
  <si>
    <r>
      <rPr>
        <sz val="11"/>
        <rFont val="Arial"/>
        <family val="0"/>
        <charset val="1"/>
      </rPr>
      <t xml:space="preserve">TTFT </t>
    </r>
    <r>
      <rPr>
        <sz val="11"/>
        <rFont val="Noto Sans CJK SC"/>
        <family val="2"/>
      </rPr>
      <t xml:space="preserve">중 </t>
    </r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코어 비중</t>
    </r>
  </si>
  <si>
    <r>
      <rPr>
        <b val="true"/>
        <sz val="11"/>
        <color rgb="FFFFFFFF"/>
        <rFont val="Noto Sans CJK SC"/>
        <family val="2"/>
      </rPr>
      <t xml:space="preserve">② 디코드 </t>
    </r>
    <r>
      <rPr>
        <b val="true"/>
        <sz val="11"/>
        <color rgb="FFFFFFFF"/>
        <rFont val="Arial"/>
        <family val="0"/>
        <charset val="1"/>
      </rPr>
      <t xml:space="preserve">(tok/s)</t>
    </r>
  </si>
  <si>
    <t xml:space="preserve">디코드 시점 컨텍스트 길이</t>
  </si>
  <si>
    <r>
      <rPr>
        <sz val="11"/>
        <rFont val="Arial"/>
        <family val="0"/>
        <charset val="1"/>
      </rPr>
      <t xml:space="preserve">Full </t>
    </r>
    <r>
      <rPr>
        <sz val="11"/>
        <rFont val="Noto Sans CJK SC"/>
        <family val="2"/>
      </rPr>
      <t xml:space="preserve">어텐션 </t>
    </r>
    <r>
      <rPr>
        <sz val="11"/>
        <rFont val="Arial"/>
        <family val="0"/>
        <charset val="1"/>
      </rPr>
      <t xml:space="preserve">KV </t>
    </r>
    <r>
      <rPr>
        <sz val="11"/>
        <rFont val="Noto Sans CJK SC"/>
        <family val="2"/>
      </rPr>
      <t xml:space="preserve">읽기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</si>
  <si>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Sliding </t>
    </r>
    <r>
      <rPr>
        <sz val="11"/>
        <rFont val="Noto Sans CJK SC"/>
        <family val="2"/>
      </rPr>
      <t xml:space="preserve">유효 컨텍스트</t>
    </r>
  </si>
  <si>
    <r>
      <rPr>
        <sz val="11"/>
        <rFont val="Arial"/>
        <family val="0"/>
        <charset val="1"/>
      </rPr>
      <t xml:space="preserve">Sliding </t>
    </r>
    <r>
      <rPr>
        <sz val="11"/>
        <rFont val="Noto Sans CJK SC"/>
        <family val="2"/>
      </rPr>
      <t xml:space="preserve">어텐션 </t>
    </r>
    <r>
      <rPr>
        <sz val="11"/>
        <rFont val="Arial"/>
        <family val="0"/>
        <charset val="1"/>
      </rPr>
      <t xml:space="preserve">KV </t>
    </r>
    <r>
      <rPr>
        <sz val="11"/>
        <rFont val="Noto Sans CJK SC"/>
        <family val="2"/>
      </rPr>
      <t xml:space="preserve">읽기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</si>
  <si>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재귀 연산량 </t>
    </r>
    <r>
      <rPr>
        <sz val="11"/>
        <rFont val="Arial"/>
        <family val="0"/>
        <charset val="1"/>
      </rPr>
      <t xml:space="preserve">(ops)</t>
    </r>
  </si>
  <si>
    <r>
      <rPr>
        <sz val="11"/>
        <rFont val="Arial"/>
        <family val="0"/>
        <charset val="1"/>
      </rPr>
      <t xml:space="preserve">GDN state </t>
    </r>
    <r>
      <rPr>
        <sz val="11"/>
        <rFont val="Noto Sans CJK SC"/>
        <family val="2"/>
      </rPr>
      <t xml:space="preserve">읽기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쓰기 </t>
    </r>
    <r>
      <rPr>
        <sz val="11"/>
        <rFont val="Arial"/>
        <family val="0"/>
        <charset val="1"/>
      </rPr>
      <t xml:space="preserve">(B)</t>
    </r>
  </si>
  <si>
    <r>
      <rPr>
        <sz val="11"/>
        <rFont val="Arial"/>
        <family val="0"/>
        <charset val="1"/>
      </rPr>
      <t xml:space="preserve">GDN </t>
    </r>
    <r>
      <rPr>
        <sz val="11"/>
        <rFont val="Noto Sans CJK SC"/>
        <family val="2"/>
      </rPr>
      <t xml:space="preserve">재귀 시간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</si>
  <si>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MoE top-k </t>
    </r>
    <r>
      <rPr>
        <sz val="11"/>
        <rFont val="Noto Sans CJK SC"/>
        <family val="2"/>
      </rPr>
      <t xml:space="preserve">오버헤드 </t>
    </r>
    <r>
      <rPr>
        <sz val="11"/>
        <rFont val="Arial"/>
        <family val="0"/>
        <charset val="1"/>
      </rPr>
      <t xml:space="preserve">(ms/token)</t>
    </r>
  </si>
  <si>
    <r>
      <rPr>
        <sz val="11"/>
        <rFont val="Noto Sans CJK SC"/>
        <family val="2"/>
      </rPr>
      <t xml:space="preserve">어텐션 </t>
    </r>
    <r>
      <rPr>
        <sz val="11"/>
        <rFont val="Arial"/>
        <family val="0"/>
        <charset val="1"/>
      </rPr>
      <t xml:space="preserve">+ GDN </t>
    </r>
    <r>
      <rPr>
        <sz val="11"/>
        <rFont val="Noto Sans CJK SC"/>
        <family val="2"/>
      </rPr>
      <t xml:space="preserve">합계 </t>
    </r>
    <r>
      <rPr>
        <sz val="11"/>
        <rFont val="Arial"/>
        <family val="0"/>
        <charset val="1"/>
      </rPr>
      <t xml:space="preserve">(ms)</t>
    </r>
  </si>
  <si>
    <r>
      <rPr>
        <sz val="11"/>
        <rFont val="Noto Sans CJK SC"/>
        <family val="2"/>
      </rPr>
      <t xml:space="preserve">토큰당 </t>
    </r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트래픽 </t>
    </r>
    <r>
      <rPr>
        <sz val="11"/>
        <rFont val="Arial"/>
        <family val="0"/>
        <charset val="1"/>
      </rPr>
      <t xml:space="preserve">(GB)</t>
    </r>
  </si>
  <si>
    <r>
      <rPr>
        <b val="true"/>
        <sz val="11"/>
        <rFont val="Noto Sans CJK SC"/>
        <family val="2"/>
      </rPr>
      <t xml:space="preserve">토큰당 디코드 시간 </t>
    </r>
    <r>
      <rPr>
        <b val="true"/>
        <sz val="11"/>
        <rFont val="Arial"/>
        <family val="0"/>
        <charset val="1"/>
      </rPr>
      <t xml:space="preserve">(ms)</t>
    </r>
  </si>
  <si>
    <r>
      <rPr>
        <sz val="11"/>
        <rFont val="Noto Sans CJK SC"/>
        <family val="2"/>
      </rPr>
      <t xml:space="preserve">디코드 시간 중 </t>
    </r>
    <r>
      <rPr>
        <sz val="11"/>
        <rFont val="Arial"/>
        <family val="0"/>
        <charset val="1"/>
      </rPr>
      <t xml:space="preserve">top-k </t>
    </r>
    <r>
      <rPr>
        <sz val="11"/>
        <rFont val="Noto Sans CJK SC"/>
        <family val="2"/>
      </rPr>
      <t xml:space="preserve">비중</t>
    </r>
  </si>
  <si>
    <r>
      <rPr>
        <sz val="11"/>
        <rFont val="Noto Sans CJK SC"/>
        <family val="2"/>
      </rPr>
      <t xml:space="preserve">디코드 시간 중 </t>
    </r>
    <r>
      <rPr>
        <sz val="11"/>
        <rFont val="Arial"/>
        <family val="0"/>
        <charset val="1"/>
      </rPr>
      <t xml:space="preserve">GDN state </t>
    </r>
    <r>
      <rPr>
        <sz val="11"/>
        <rFont val="Noto Sans CJK SC"/>
        <family val="2"/>
      </rPr>
      <t xml:space="preserve">비중</t>
    </r>
  </si>
  <si>
    <r>
      <rPr>
        <b val="true"/>
        <sz val="11"/>
        <color rgb="FFFFFFFF"/>
        <rFont val="Noto Sans CJK SC"/>
        <family val="2"/>
      </rPr>
      <t xml:space="preserve">③ 응답 완료 시간 </t>
    </r>
    <r>
      <rPr>
        <b val="true"/>
        <sz val="11"/>
        <color rgb="FFFFFFFF"/>
        <rFont val="Arial"/>
        <family val="0"/>
        <charset val="1"/>
      </rPr>
      <t xml:space="preserve">(TTFT + </t>
    </r>
    <r>
      <rPr>
        <b val="true"/>
        <sz val="11"/>
        <color rgb="FFFFFFFF"/>
        <rFont val="Noto Sans CJK SC"/>
        <family val="2"/>
      </rPr>
      <t xml:space="preserve">나머지 출력 토큰 디코드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</si>
  <si>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출력 구간 평균 컨텍스트</t>
  </si>
  <si>
    <r>
      <rPr>
        <sz val="11"/>
        <rFont val="Arial"/>
        <family val="0"/>
        <charset val="1"/>
      </rPr>
      <t xml:space="preserve">Full </t>
    </r>
    <r>
      <rPr>
        <sz val="11"/>
        <rFont val="Noto Sans CJK SC"/>
        <family val="2"/>
      </rPr>
      <t xml:space="preserve">어텐션 시간 </t>
    </r>
    <r>
      <rPr>
        <sz val="11"/>
        <rFont val="Arial"/>
        <family val="0"/>
        <charset val="1"/>
      </rPr>
      <t xml:space="preserve">@ </t>
    </r>
    <r>
      <rPr>
        <sz val="11"/>
        <rFont val="Noto Sans CJK SC"/>
        <family val="2"/>
      </rPr>
      <t xml:space="preserve">평균 컨텍스트 </t>
    </r>
    <r>
      <rPr>
        <sz val="11"/>
        <rFont val="Arial"/>
        <family val="0"/>
        <charset val="1"/>
      </rPr>
      <t xml:space="preserve">(ms)</t>
    </r>
  </si>
  <si>
    <r>
      <rPr>
        <sz val="11"/>
        <rFont val="Arial"/>
        <family val="0"/>
        <charset val="1"/>
      </rPr>
      <t xml:space="preserve">Sliding </t>
    </r>
    <r>
      <rPr>
        <sz val="11"/>
        <rFont val="Noto Sans CJK SC"/>
        <family val="2"/>
      </rPr>
      <t xml:space="preserve">어텐션 시간 </t>
    </r>
    <r>
      <rPr>
        <sz val="11"/>
        <rFont val="Arial"/>
        <family val="0"/>
        <charset val="1"/>
      </rPr>
      <t xml:space="preserve">@ </t>
    </r>
    <r>
      <rPr>
        <sz val="11"/>
        <rFont val="Noto Sans CJK SC"/>
        <family val="2"/>
      </rPr>
      <t xml:space="preserve">평균 컨텍스트 </t>
    </r>
    <r>
      <rPr>
        <sz val="11"/>
        <rFont val="Arial"/>
        <family val="0"/>
        <charset val="1"/>
      </rPr>
      <t xml:space="preserve">(ms)</t>
    </r>
  </si>
  <si>
    <r>
      <rPr>
        <sz val="11"/>
        <rFont val="Noto Sans CJK SC"/>
        <family val="2"/>
      </rPr>
      <t xml:space="preserve">출력 구간 평균 토큰당 시간 </t>
    </r>
    <r>
      <rPr>
        <sz val="11"/>
        <rFont val="Arial"/>
        <family val="0"/>
        <charset val="1"/>
      </rPr>
      <t xml:space="preserve">(ms)</t>
    </r>
  </si>
  <si>
    <r>
      <rPr>
        <b val="true"/>
        <sz val="11"/>
        <rFont val="Noto Sans CJK SC"/>
        <family val="2"/>
      </rPr>
      <t xml:space="preserve">응답 완료 시간 </t>
    </r>
    <r>
      <rPr>
        <b val="true"/>
        <sz val="11"/>
        <rFont val="Arial"/>
        <family val="0"/>
        <charset val="1"/>
      </rPr>
      <t xml:space="preserve">(s)</t>
    </r>
  </si>
  <si>
    <r>
      <rPr>
        <sz val="11"/>
        <color rgb="FF595959"/>
        <rFont val="Noto Sans CJK SC"/>
        <family val="2"/>
      </rPr>
      <t xml:space="preserve">첫 출력 토큰은 프리필이 만들고</t>
    </r>
    <r>
      <rPr>
        <sz val="11"/>
        <color rgb="FF595959"/>
        <rFont val="Arial"/>
        <family val="0"/>
        <charset val="1"/>
      </rPr>
      <t xml:space="preserve">, </t>
    </r>
    <r>
      <rPr>
        <sz val="11"/>
        <color rgb="FF595959"/>
        <rFont val="Noto Sans CJK SC"/>
        <family val="2"/>
      </rPr>
      <t xml:space="preserve">나머지 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출력 토큰 수 − </t>
    </r>
    <r>
      <rPr>
        <sz val="11"/>
        <color rgb="FF595959"/>
        <rFont val="Arial"/>
        <family val="0"/>
        <charset val="1"/>
      </rPr>
      <t xml:space="preserve">1)</t>
    </r>
    <r>
      <rPr>
        <sz val="11"/>
        <color rgb="FF595959"/>
        <rFont val="Noto Sans CJK SC"/>
        <family val="2"/>
      </rPr>
      <t xml:space="preserve">개는 디코드로 생성</t>
    </r>
  </si>
  <si>
    <r>
      <rPr>
        <sz val="11"/>
        <rFont val="Noto Sans CJK SC"/>
        <family val="2"/>
      </rPr>
      <t xml:space="preserve">응답 전체 기준 출력 </t>
    </r>
    <r>
      <rPr>
        <sz val="11"/>
        <rFont val="Arial"/>
        <family val="0"/>
        <charset val="1"/>
      </rPr>
      <t xml:space="preserve">tok/s</t>
    </r>
  </si>
  <si>
    <r>
      <rPr>
        <sz val="11"/>
        <rFont val="Noto Sans CJK SC"/>
        <family val="2"/>
      </rPr>
      <t xml:space="preserve">응답 시간 중 </t>
    </r>
    <r>
      <rPr>
        <sz val="11"/>
        <rFont val="Arial"/>
        <family val="0"/>
        <charset val="1"/>
      </rPr>
      <t xml:space="preserve">TTFT </t>
    </r>
    <r>
      <rPr>
        <sz val="11"/>
        <rFont val="Noto Sans CJK SC"/>
        <family val="2"/>
      </rPr>
      <t xml:space="preserve">비중</t>
    </r>
  </si>
  <si>
    <r>
      <rPr>
        <b val="true"/>
        <sz val="11"/>
        <color rgb="FFFFFFFF"/>
        <rFont val="Arial"/>
        <family val="0"/>
        <charset val="1"/>
      </rPr>
      <t xml:space="preserve">④ DRAM </t>
    </r>
    <r>
      <rPr>
        <b val="true"/>
        <sz val="11"/>
        <color rgb="FFFFFFFF"/>
        <rFont val="Noto Sans CJK SC"/>
        <family val="2"/>
      </rPr>
      <t xml:space="preserve">사용량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입력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출력 토큰을 모두 담은 시점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</si>
  <si>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최종 컨텍스트 길이</t>
  </si>
  <si>
    <r>
      <rPr>
        <sz val="11"/>
        <rFont val="Noto Sans CJK SC"/>
        <family val="2"/>
      </rPr>
      <t xml:space="preserve">가중치 </t>
    </r>
    <r>
      <rPr>
        <sz val="11"/>
        <rFont val="Arial"/>
        <family val="0"/>
        <charset val="1"/>
      </rPr>
      <t xml:space="preserve">(GiB)</t>
    </r>
  </si>
  <si>
    <t xml:space="preserve">KV cache + GDN state (GiB)</t>
  </si>
  <si>
    <r>
      <rPr>
        <sz val="11"/>
        <rFont val="Noto Sans CJK SC"/>
        <family val="2"/>
      </rPr>
      <t xml:space="preserve">작업 버퍼 </t>
    </r>
    <r>
      <rPr>
        <sz val="11"/>
        <rFont val="Arial"/>
        <family val="0"/>
        <charset val="1"/>
      </rPr>
      <t xml:space="preserve">(GiB)</t>
    </r>
  </si>
  <si>
    <r>
      <rPr>
        <b val="true"/>
        <sz val="11"/>
        <rFont val="Noto Sans CJK SC"/>
        <family val="2"/>
      </rPr>
      <t xml:space="preserve">필요 </t>
    </r>
    <r>
      <rPr>
        <b val="true"/>
        <sz val="11"/>
        <rFont val="Arial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(GiB)</t>
    </r>
  </si>
  <si>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용량 체크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여유</t>
    </r>
    <r>
      <rPr>
        <sz val="11"/>
        <rFont val="Arial"/>
        <family val="0"/>
        <charset val="1"/>
      </rPr>
      <t xml:space="preserve">+ / </t>
    </r>
    <r>
      <rPr>
        <sz val="11"/>
        <rFont val="Noto Sans CJK SC"/>
        <family val="2"/>
      </rPr>
      <t xml:space="preserve">부족− </t>
    </r>
    <r>
      <rPr>
        <sz val="11"/>
        <rFont val="Arial"/>
        <family val="0"/>
        <charset val="1"/>
      </rPr>
      <t xml:space="preserve">GiB)</t>
    </r>
  </si>
  <si>
    <t xml:space="preserve">사용 방법</t>
  </si>
  <si>
    <r>
      <rPr>
        <sz val="11"/>
        <rFont val="Arial"/>
        <family val="0"/>
        <charset val="1"/>
      </rPr>
      <t xml:space="preserve">1. '</t>
    </r>
    <r>
      <rPr>
        <sz val="11"/>
        <rFont val="Noto Sans CJK SC"/>
        <family val="2"/>
      </rPr>
      <t xml:space="preserve">설정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시트의 노란 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하드웨어</t>
    </r>
    <r>
      <rPr>
        <sz val="11"/>
        <rFont val="Arial"/>
        <family val="0"/>
        <charset val="1"/>
      </rPr>
      <t xml:space="preserve">, TOPS </t>
    </r>
    <r>
      <rPr>
        <sz val="11"/>
        <rFont val="Noto Sans CJK SC"/>
        <family val="2"/>
      </rPr>
      <t xml:space="preserve">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경량화 표</t>
    </r>
    <r>
      <rPr>
        <sz val="11"/>
        <rFont val="Arial"/>
        <family val="0"/>
        <charset val="1"/>
      </rPr>
      <t xml:space="preserve">, top-k, </t>
    </r>
    <r>
      <rPr>
        <sz val="11"/>
        <rFont val="Noto Sans CJK SC"/>
        <family val="2"/>
      </rPr>
      <t xml:space="preserve">시나리오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을 입력합니다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들어 있는 숫자는 예시값입니다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</si>
  <si>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모델 구조는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모델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시트의 노란 칸에서 수정합니다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블록</t>
    </r>
    <r>
      <rPr>
        <sz val="11"/>
        <rFont val="Arial"/>
        <family val="0"/>
        <charset val="1"/>
      </rPr>
      <t xml:space="preserve">(full/sliding/linear attention, FFN/MoE)</t>
    </r>
    <r>
      <rPr>
        <sz val="11"/>
        <rFont val="Noto Sans CJK SC"/>
        <family val="2"/>
      </rPr>
      <t xml:space="preserve">별로 나뉘어 있어 하이브리드 구조도 표현할 수 있습니다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모델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칸은 사용자 정의용입니다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</si>
  <si>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결과는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결과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행렬별 상세는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모델</t>
    </r>
    <r>
      <rPr>
        <sz val="11"/>
        <rFont val="Arial"/>
        <family val="0"/>
        <charset val="1"/>
      </rPr>
      <t xml:space="preserve">1~5' </t>
    </r>
    <r>
      <rPr>
        <sz val="11"/>
        <rFont val="Noto Sans CJK SC"/>
        <family val="2"/>
      </rPr>
      <t xml:space="preserve">시트에서 확인합니다</t>
    </r>
    <r>
      <rPr>
        <sz val="11"/>
        <rFont val="Arial"/>
        <family val="0"/>
        <charset val="1"/>
      </rPr>
      <t xml:space="preserve">.</t>
    </r>
  </si>
  <si>
    <t xml:space="preserve">계산 방법</t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</si>
  <si>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행렬곱과 어텐션 각각에 대해 연산 시간 </t>
    </r>
    <r>
      <rPr>
        <sz val="11"/>
        <rFont val="Arial"/>
        <family val="0"/>
        <charset val="1"/>
      </rPr>
      <t xml:space="preserve">= ops ÷ </t>
    </r>
    <r>
      <rPr>
        <sz val="11"/>
        <rFont val="Noto Sans CJK SC"/>
        <family val="2"/>
      </rPr>
      <t xml:space="preserve">실효 </t>
    </r>
    <r>
      <rPr>
        <sz val="11"/>
        <rFont val="Arial"/>
        <family val="0"/>
        <charset val="1"/>
      </rPr>
      <t xml:space="preserve">TOPS, </t>
    </r>
    <r>
      <rPr>
        <sz val="11"/>
        <rFont val="Noto Sans CJK SC"/>
        <family val="2"/>
      </rPr>
      <t xml:space="preserve">메모리 시간 </t>
    </r>
    <r>
      <rPr>
        <sz val="11"/>
        <rFont val="Arial"/>
        <family val="0"/>
        <charset val="1"/>
      </rPr>
      <t xml:space="preserve">= DRAM </t>
    </r>
    <r>
      <rPr>
        <sz val="11"/>
        <rFont val="Noto Sans CJK SC"/>
        <family val="2"/>
      </rPr>
      <t xml:space="preserve">바이트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실효 대역폭 중 큰 값을 취해 합산합니다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</si>
  <si>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가중치 바이트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파라미터 </t>
    </r>
    <r>
      <rPr>
        <sz val="11"/>
        <rFont val="Arial"/>
        <family val="0"/>
        <charset val="1"/>
      </rPr>
      <t xml:space="preserve">= W bit/8 + Scale bit/8/Group (Group 0</t>
    </r>
    <r>
      <rPr>
        <sz val="11"/>
        <rFont val="Noto Sans CJK SC"/>
        <family val="2"/>
      </rPr>
      <t xml:space="preserve">이면 </t>
    </r>
    <r>
      <rPr>
        <sz val="11"/>
        <rFont val="Arial"/>
        <family val="0"/>
        <charset val="1"/>
      </rPr>
      <t xml:space="preserve">per-channel</t>
    </r>
    <r>
      <rPr>
        <sz val="11"/>
        <rFont val="Noto Sans CJK SC"/>
        <family val="2"/>
      </rPr>
      <t xml:space="preserve">로 보고 </t>
    </r>
    <r>
      <rPr>
        <sz val="11"/>
        <rFont val="Arial"/>
        <family val="0"/>
        <charset val="1"/>
      </rPr>
      <t xml:space="preserve">Scale bit/8/K). </t>
    </r>
    <r>
      <rPr>
        <sz val="11"/>
        <rFont val="Noto Sans CJK SC"/>
        <family val="2"/>
      </rPr>
      <t xml:space="preserve">구분</t>
    </r>
    <r>
      <rPr>
        <sz val="11"/>
        <rFont val="Arial"/>
        <family val="0"/>
        <charset val="1"/>
      </rPr>
      <t xml:space="preserve">(Attention, GDN, FFN, Router, LM head)</t>
    </r>
    <r>
      <rPr>
        <sz val="11"/>
        <rFont val="Noto Sans CJK SC"/>
        <family val="2"/>
      </rPr>
      <t xml:space="preserve">마다 따로 적용됩니다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</si>
  <si>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실효 </t>
    </r>
    <r>
      <rPr>
        <sz val="11"/>
        <rFont val="Arial"/>
        <family val="0"/>
        <charset val="1"/>
      </rPr>
      <t xml:space="preserve">TOPS</t>
    </r>
    <r>
      <rPr>
        <sz val="11"/>
        <rFont val="Noto Sans CJK SC"/>
        <family val="2"/>
      </rPr>
      <t xml:space="preserve">는 구분별 </t>
    </r>
    <r>
      <rPr>
        <sz val="11"/>
        <rFont val="Arial"/>
        <family val="0"/>
        <charset val="1"/>
      </rPr>
      <t xml:space="preserve">Weight bit</t>
    </r>
    <r>
      <rPr>
        <sz val="11"/>
        <rFont val="Noto Sans CJK SC"/>
        <family val="2"/>
      </rPr>
      <t xml:space="preserve">와 </t>
    </r>
    <r>
      <rPr>
        <sz val="11"/>
        <rFont val="Arial"/>
        <family val="0"/>
        <charset val="1"/>
      </rPr>
      <t xml:space="preserve">Activation bit</t>
    </r>
    <r>
      <rPr>
        <sz val="11"/>
        <rFont val="Noto Sans CJK SC"/>
        <family val="2"/>
      </rPr>
      <t xml:space="preserve">로 </t>
    </r>
    <r>
      <rPr>
        <sz val="11"/>
        <rFont val="Arial"/>
        <family val="0"/>
        <charset val="1"/>
      </rPr>
      <t xml:space="preserve">TOPS </t>
    </r>
    <r>
      <rPr>
        <sz val="11"/>
        <rFont val="Noto Sans CJK SC"/>
        <family val="2"/>
      </rPr>
      <t xml:space="preserve">표에서 조회합니다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어텐션 </t>
    </r>
    <r>
      <rPr>
        <sz val="11"/>
        <rFont val="Arial"/>
        <family val="0"/>
        <charset val="1"/>
      </rPr>
      <t xml:space="preserve">QK·PV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KV bit × Activation bit</t>
    </r>
    <r>
      <rPr>
        <sz val="11"/>
        <rFont val="Noto Sans CJK SC"/>
        <family val="2"/>
      </rPr>
      <t xml:space="preserve">로 조회합니다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</si>
  <si>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SRAM </t>
    </r>
    <r>
      <rPr>
        <sz val="11"/>
        <rFont val="Noto Sans CJK SC"/>
        <family val="2"/>
      </rPr>
      <t xml:space="preserve">타일링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가용 </t>
    </r>
    <r>
      <rPr>
        <sz val="11"/>
        <rFont val="Arial"/>
        <family val="0"/>
        <charset val="1"/>
      </rPr>
      <t xml:space="preserve">SRAM</t>
    </r>
    <r>
      <rPr>
        <sz val="11"/>
        <rFont val="Noto Sans CJK SC"/>
        <family val="2"/>
      </rPr>
      <t xml:space="preserve">을 입력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가중치 타일에 반씩 나누고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입력 타일 고정과 가중치 타일 고정 중 트래픽이 작은 쪽을 택합니다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레이어 퓨전 없음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보수적</t>
    </r>
    <r>
      <rPr>
        <sz val="11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</si>
  <si>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프리필 어텐션은 </t>
    </r>
    <r>
      <rPr>
        <sz val="11"/>
        <rFont val="Arial"/>
        <family val="0"/>
        <charset val="1"/>
      </rPr>
      <t xml:space="preserve">FlashAttention </t>
    </r>
    <r>
      <rPr>
        <sz val="11"/>
        <rFont val="Noto Sans CJK SC"/>
        <family val="2"/>
      </rPr>
      <t xml:space="preserve">방식으로 가정하고</t>
    </r>
    <r>
      <rPr>
        <sz val="11"/>
        <rFont val="Arial"/>
        <family val="0"/>
        <charset val="1"/>
      </rPr>
      <t xml:space="preserve">, Q </t>
    </r>
    <r>
      <rPr>
        <sz val="11"/>
        <rFont val="Noto Sans CJK SC"/>
        <family val="2"/>
      </rPr>
      <t xml:space="preserve">타일이 </t>
    </r>
    <r>
      <rPr>
        <sz val="11"/>
        <rFont val="Arial"/>
        <family val="0"/>
        <charset val="1"/>
      </rPr>
      <t xml:space="preserve">SRAM</t>
    </r>
    <r>
      <rPr>
        <sz val="11"/>
        <rFont val="Noto Sans CJK SC"/>
        <family val="2"/>
      </rPr>
      <t xml:space="preserve">에 다 안 들어가면 </t>
    </r>
    <r>
      <rPr>
        <sz val="11"/>
        <rFont val="Arial"/>
        <family val="0"/>
        <charset val="1"/>
      </rPr>
      <t xml:space="preserve">KV</t>
    </r>
    <r>
      <rPr>
        <sz val="11"/>
        <rFont val="Noto Sans CJK SC"/>
        <family val="2"/>
      </rPr>
      <t xml:space="preserve">를 반복해서 읽습니다</t>
    </r>
    <r>
      <rPr>
        <sz val="11"/>
        <rFont val="Arial"/>
        <family val="0"/>
        <charset val="1"/>
      </rPr>
      <t xml:space="preserve">. Sliding layer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window </t>
    </r>
    <r>
      <rPr>
        <sz val="11"/>
        <rFont val="Noto Sans CJK SC"/>
        <family val="2"/>
      </rPr>
      <t xml:space="preserve">크기까지만 계산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저장합니다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</si>
  <si>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MoE </t>
    </r>
    <r>
      <rPr>
        <sz val="11"/>
        <rFont val="Noto Sans CJK SC"/>
        <family val="2"/>
      </rPr>
      <t xml:space="preserve">디코드는 토큰당 활성 </t>
    </r>
    <r>
      <rPr>
        <sz val="11"/>
        <rFont val="Arial"/>
        <family val="0"/>
        <charset val="1"/>
      </rPr>
      <t xml:space="preserve">expert</t>
    </r>
    <r>
      <rPr>
        <sz val="11"/>
        <rFont val="Noto Sans CJK SC"/>
        <family val="2"/>
      </rPr>
      <t xml:space="preserve">만 읽습니다 </t>
    </r>
    <r>
      <rPr>
        <sz val="11"/>
        <rFont val="Arial"/>
        <family val="0"/>
        <charset val="1"/>
      </rPr>
      <t xml:space="preserve">(expert </t>
    </r>
    <r>
      <rPr>
        <sz val="11"/>
        <rFont val="Noto Sans CJK SC"/>
        <family val="2"/>
      </rPr>
      <t xml:space="preserve">재사용 없음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항상 활성 </t>
    </r>
    <r>
      <rPr>
        <sz val="11"/>
        <rFont val="Arial"/>
        <family val="0"/>
        <charset val="1"/>
      </rPr>
      <t xml:space="preserve">FFN(dense MLP, shared expert)</t>
    </r>
    <r>
      <rPr>
        <sz val="11"/>
        <rFont val="Noto Sans CJK SC"/>
        <family val="2"/>
      </rPr>
      <t xml:space="preserve">은 매 토큰 계산합니다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</si>
  <si>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MoE </t>
    </r>
    <r>
      <rPr>
        <sz val="11"/>
        <rFont val="Noto Sans CJK SC"/>
        <family val="2"/>
      </rPr>
      <t xml:space="preserve">프리필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사용 비율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균등 라우팅 가정</t>
    </r>
    <r>
      <rPr>
        <sz val="11"/>
        <rFont val="Arial"/>
        <family val="0"/>
        <charset val="1"/>
      </rPr>
      <t xml:space="preserve">): </t>
    </r>
    <r>
      <rPr>
        <sz val="11"/>
        <rFont val="Noto Sans CJK SC"/>
        <family val="2"/>
      </rPr>
      <t xml:space="preserve">토큰 하나가 서로 다른 </t>
    </r>
    <r>
      <rPr>
        <sz val="11"/>
        <rFont val="Arial"/>
        <family val="0"/>
        <charset val="1"/>
      </rPr>
      <t xml:space="preserve">k</t>
    </r>
    <r>
      <rPr>
        <sz val="11"/>
        <rFont val="Noto Sans CJK SC"/>
        <family val="2"/>
      </rPr>
      <t xml:space="preserve">개를 </t>
    </r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개 중에서 고르면 특정 </t>
    </r>
    <r>
      <rPr>
        <sz val="11"/>
        <rFont val="Arial"/>
        <family val="0"/>
        <charset val="1"/>
      </rPr>
      <t xml:space="preserve">expert</t>
    </r>
    <r>
      <rPr>
        <sz val="11"/>
        <rFont val="Noto Sans CJK SC"/>
        <family val="2"/>
      </rPr>
      <t xml:space="preserve">가 빠질 확률은 </t>
    </r>
    <r>
      <rPr>
        <sz val="11"/>
        <rFont val="Arial"/>
        <family val="0"/>
        <charset val="1"/>
      </rPr>
      <t xml:space="preserve">(E−k)/E = 1−k/E. </t>
    </r>
    <r>
      <rPr>
        <sz val="11"/>
        <rFont val="Noto Sans CJK SC"/>
        <family val="2"/>
      </rPr>
      <t xml:space="preserve">토큰끼리 독립이면 </t>
    </r>
    <r>
      <rPr>
        <sz val="11"/>
        <rFont val="Arial"/>
        <family val="0"/>
        <charset val="1"/>
      </rPr>
      <t xml:space="preserve">N</t>
    </r>
    <r>
      <rPr>
        <sz val="11"/>
        <rFont val="Noto Sans CJK SC"/>
        <family val="2"/>
      </rPr>
      <t xml:space="preserve">개 토큰 모두에게서 빠질 확률은 </t>
    </r>
    <r>
      <rPr>
        <sz val="11"/>
        <rFont val="Arial"/>
        <family val="0"/>
        <charset val="1"/>
      </rPr>
      <t xml:space="preserve">(1−k/E)^N. </t>
    </r>
    <r>
      <rPr>
        <sz val="11"/>
        <rFont val="Noto Sans CJK SC"/>
        <family val="2"/>
      </rPr>
      <t xml:space="preserve">따라서 사용 비율 </t>
    </r>
    <r>
      <rPr>
        <sz val="11"/>
        <rFont val="Arial"/>
        <family val="0"/>
        <charset val="1"/>
      </rPr>
      <t xml:space="preserve">= 1−(1−k/E)^N, </t>
    </r>
    <r>
      <rPr>
        <sz val="11"/>
        <rFont val="Noto Sans CJK SC"/>
        <family val="2"/>
      </rPr>
      <t xml:space="preserve">사용 개수 </t>
    </r>
    <r>
      <rPr>
        <sz val="11"/>
        <rFont val="Arial"/>
        <family val="0"/>
        <charset val="1"/>
      </rPr>
      <t xml:space="preserve">= E×(1−(1−k/E)^N). </t>
    </r>
    <r>
      <rPr>
        <sz val="11"/>
        <rFont val="Noto Sans CJK SC"/>
        <family val="2"/>
      </rPr>
      <t xml:space="preserve">엑셀에서는 큰 </t>
    </r>
    <r>
      <rPr>
        <sz val="11"/>
        <rFont val="Arial"/>
        <family val="0"/>
        <charset val="1"/>
      </rPr>
      <t xml:space="preserve">N</t>
    </r>
    <r>
      <rPr>
        <sz val="11"/>
        <rFont val="Noto Sans CJK SC"/>
        <family val="2"/>
      </rPr>
      <t xml:space="preserve">에서 거듭제곱 </t>
    </r>
    <r>
      <rPr>
        <sz val="11"/>
        <rFont val="Arial"/>
        <family val="0"/>
        <charset val="1"/>
      </rPr>
      <t xml:space="preserve">underflow</t>
    </r>
    <r>
      <rPr>
        <sz val="11"/>
        <rFont val="Noto Sans CJK SC"/>
        <family val="2"/>
      </rPr>
      <t xml:space="preserve">를 피하려고 </t>
    </r>
    <r>
      <rPr>
        <sz val="11"/>
        <rFont val="Arial"/>
        <family val="0"/>
        <charset val="1"/>
      </rPr>
      <t xml:space="preserve">EXP(N×LN(1−k/E))</t>
    </r>
    <r>
      <rPr>
        <sz val="11"/>
        <rFont val="Noto Sans CJK SC"/>
        <family val="2"/>
      </rPr>
      <t xml:space="preserve">로 계산합니다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</si>
  <si>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MoE expert </t>
    </r>
    <r>
      <rPr>
        <b val="true"/>
        <sz val="11"/>
        <rFont val="Noto Sans CJK SC"/>
        <family val="2"/>
      </rPr>
      <t xml:space="preserve">사용 수 실측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선택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</si>
  <si>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기본은 균등 라우팅 공식입니다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실제 라우팅은 쏠림이 있어 사용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수가 이보다 작거나 같으므로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균등 가정은 </t>
    </r>
    <r>
      <rPr>
        <sz val="11"/>
        <rFont val="Arial"/>
        <family val="0"/>
        <charset val="1"/>
      </rPr>
      <t xml:space="preserve">TTFT</t>
    </r>
    <r>
      <rPr>
        <sz val="11"/>
        <rFont val="Noto Sans CJK SC"/>
        <family val="2"/>
      </rPr>
      <t xml:space="preserve">의 보수적 상한입니다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</si>
  <si>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moe_routing_stats.py</t>
    </r>
    <r>
      <rPr>
        <sz val="11"/>
        <rFont val="Noto Sans CJK SC"/>
        <family val="2"/>
      </rPr>
      <t xml:space="preserve">를 </t>
    </r>
    <r>
      <rPr>
        <sz val="11"/>
        <rFont val="Arial"/>
        <family val="0"/>
        <charset val="1"/>
      </rPr>
      <t xml:space="preserve">GPU </t>
    </r>
    <r>
      <rPr>
        <sz val="11"/>
        <rFont val="Noto Sans CJK SC"/>
        <family val="2"/>
      </rPr>
      <t xml:space="preserve">서버에서 모델별로 실행하면 </t>
    </r>
    <r>
      <rPr>
        <sz val="11"/>
        <rFont val="Arial"/>
        <family val="0"/>
        <charset val="1"/>
      </rPr>
      <t xml:space="preserve">layer</t>
    </r>
    <r>
      <rPr>
        <sz val="11"/>
        <rFont val="Noto Sans CJK SC"/>
        <family val="2"/>
      </rPr>
      <t xml:space="preserve">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도메인별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입력 길이별 사용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수와 히트맵이 나옵니다</t>
    </r>
    <r>
      <rPr>
        <sz val="11"/>
        <rFont val="Arial"/>
        <family val="0"/>
        <charset val="1"/>
      </rPr>
      <t xml:space="preserve">. excel_paste_&lt;</t>
    </r>
    <r>
      <rPr>
        <sz val="11"/>
        <rFont val="Noto Sans CJK SC"/>
        <family val="2"/>
      </rPr>
      <t xml:space="preserve">모델</t>
    </r>
    <r>
      <rPr>
        <sz val="11"/>
        <rFont val="Arial"/>
        <family val="0"/>
        <charset val="1"/>
      </rPr>
      <t xml:space="preserve">&gt;.csv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measured_used_layer_avg 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도메인별 </t>
    </r>
    <r>
      <rPr>
        <sz val="11"/>
        <rFont val="Arial"/>
        <family val="0"/>
        <charset val="1"/>
      </rPr>
      <t xml:space="preserve">p95 </t>
    </r>
    <r>
      <rPr>
        <sz val="11"/>
        <rFont val="Noto Sans CJK SC"/>
        <family val="2"/>
      </rPr>
      <t xml:space="preserve">중 최댓값의 </t>
    </r>
    <r>
      <rPr>
        <sz val="11"/>
        <rFont val="Arial"/>
        <family val="0"/>
        <charset val="1"/>
      </rPr>
      <t xml:space="preserve">layer </t>
    </r>
    <r>
      <rPr>
        <sz val="11"/>
        <rFont val="Noto Sans CJK SC"/>
        <family val="2"/>
      </rPr>
      <t xml:space="preserve">평균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을 </t>
    </r>
    <r>
      <rPr>
        <sz val="11"/>
        <rFont val="Arial"/>
        <family val="0"/>
        <charset val="1"/>
      </rPr>
      <t xml:space="preserve">'Expert </t>
    </r>
    <r>
      <rPr>
        <sz val="11"/>
        <rFont val="Noto Sans CJK SC"/>
        <family val="2"/>
      </rPr>
      <t xml:space="preserve">실측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시트에 붙여 넣고</t>
    </r>
    <r>
      <rPr>
        <sz val="11"/>
        <rFont val="Arial"/>
        <family val="0"/>
        <charset val="1"/>
      </rPr>
      <t xml:space="preserve">, '</t>
    </r>
    <r>
      <rPr>
        <sz val="11"/>
        <rFont val="Noto Sans CJK SC"/>
        <family val="2"/>
      </rPr>
      <t xml:space="preserve">설정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에서 기준을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실측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으로 바꾸세요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</si>
  <si>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디코드는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재사용 없이 토큰마다 </t>
    </r>
    <r>
      <rPr>
        <sz val="11"/>
        <rFont val="Arial"/>
        <family val="0"/>
        <charset val="1"/>
      </rPr>
      <t xml:space="preserve">k</t>
    </r>
    <r>
      <rPr>
        <sz val="11"/>
        <rFont val="Noto Sans CJK SC"/>
        <family val="2"/>
      </rPr>
      <t xml:space="preserve">개 </t>
    </r>
    <r>
      <rPr>
        <sz val="11"/>
        <rFont val="Arial"/>
        <family val="0"/>
        <charset val="1"/>
      </rPr>
      <t xml:space="preserve">expert</t>
    </r>
    <r>
      <rPr>
        <sz val="11"/>
        <rFont val="Noto Sans CJK SC"/>
        <family val="2"/>
      </rPr>
      <t xml:space="preserve">를 새로 읽는다고 가정하므로 실측 여부와 무관합니다</t>
    </r>
    <r>
      <rPr>
        <sz val="11"/>
        <rFont val="Arial"/>
        <family val="0"/>
        <charset val="1"/>
      </rPr>
      <t xml:space="preserve">.</t>
    </r>
  </si>
  <si>
    <t xml:space="preserve">Gated DeltaNet (Qwen3.6 linear attention)</t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</si>
  <si>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선형층</t>
    </r>
    <r>
      <rPr>
        <sz val="11"/>
        <rFont val="Arial"/>
        <family val="0"/>
        <charset val="1"/>
      </rPr>
      <t xml:space="preserve">: in_proj_qkv (hidden → 2·Nk·dk + Nv·dv), in_proj_z (→ Nv·dv), in_proj_a/b (→ 2·Nv), out_proj (Nv·dv → hidden). '</t>
    </r>
    <r>
      <rPr>
        <sz val="11"/>
        <rFont val="Noto Sans CJK SC"/>
        <family val="2"/>
      </rPr>
      <t xml:space="preserve">설정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'Linear attn (GDN)' </t>
    </r>
    <r>
      <rPr>
        <sz val="11"/>
        <rFont val="Noto Sans CJK SC"/>
        <family val="2"/>
      </rPr>
      <t xml:space="preserve">경량화가 적용됩니다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</si>
  <si>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프리필 코어 </t>
    </r>
    <r>
      <rPr>
        <sz val="11"/>
        <rFont val="Arial"/>
        <family val="0"/>
        <charset val="1"/>
      </rPr>
      <t xml:space="preserve">(chunk </t>
    </r>
    <r>
      <rPr>
        <sz val="11"/>
        <rFont val="Noto Sans CJK SC"/>
        <family val="2"/>
      </rPr>
      <t xml:space="preserve">방식</t>
    </r>
    <r>
      <rPr>
        <sz val="11"/>
        <rFont val="Arial"/>
        <family val="0"/>
        <charset val="1"/>
      </rPr>
      <t xml:space="preserve">, transformers torch_chunk_gated_delta_rule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): </t>
    </r>
    <r>
      <rPr>
        <sz val="11"/>
        <rFont val="Noto Sans CJK SC"/>
        <family val="2"/>
      </rPr>
      <t xml:space="preserve">토큰당 </t>
    </r>
    <r>
      <rPr>
        <sz val="11"/>
        <rFont val="Arial"/>
        <family val="0"/>
        <charset val="1"/>
      </rPr>
      <t xml:space="preserve">value head</t>
    </r>
    <r>
      <rPr>
        <sz val="11"/>
        <rFont val="Noto Sans CJK SC"/>
        <family val="2"/>
      </rPr>
      <t xml:space="preserve">당 </t>
    </r>
    <r>
      <rPr>
        <sz val="11"/>
        <rFont val="Arial"/>
        <family val="0"/>
        <charset val="1"/>
      </rPr>
      <t xml:space="preserve">6·C·dk + 4·C·dv + 6·dk·dv ops (C = chunk </t>
    </r>
    <r>
      <rPr>
        <sz val="11"/>
        <rFont val="Noto Sans CJK SC"/>
        <family val="2"/>
      </rPr>
      <t xml:space="preserve">크기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각 </t>
    </r>
    <r>
      <rPr>
        <sz val="11"/>
        <rFont val="Arial"/>
        <family val="0"/>
        <charset val="1"/>
      </rPr>
      <t xml:space="preserve">head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state(dk×dv)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SRAM</t>
    </r>
    <r>
      <rPr>
        <sz val="11"/>
        <rFont val="Noto Sans CJK SC"/>
        <family val="2"/>
      </rPr>
      <t xml:space="preserve">에 머문다고 보고 </t>
    </r>
    <r>
      <rPr>
        <sz val="11"/>
        <rFont val="Arial"/>
        <family val="0"/>
        <charset val="1"/>
      </rPr>
      <t xml:space="preserve">DRAM</t>
    </r>
    <r>
      <rPr>
        <sz val="11"/>
        <rFont val="Noto Sans CJK SC"/>
        <family val="2"/>
      </rPr>
      <t xml:space="preserve">은 </t>
    </r>
    <r>
      <rPr>
        <sz val="11"/>
        <rFont val="Arial"/>
        <family val="0"/>
        <charset val="1"/>
      </rPr>
      <t xml:space="preserve">q/k/v/a/b </t>
    </r>
    <r>
      <rPr>
        <sz val="11"/>
        <rFont val="Noto Sans CJK SC"/>
        <family val="2"/>
      </rPr>
      <t xml:space="preserve">입력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출력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최종 </t>
    </r>
    <r>
      <rPr>
        <sz val="11"/>
        <rFont val="Arial"/>
        <family val="0"/>
        <charset val="1"/>
      </rPr>
      <t xml:space="preserve">state </t>
    </r>
    <r>
      <rPr>
        <sz val="11"/>
        <rFont val="Noto Sans CJK SC"/>
        <family val="2"/>
      </rPr>
      <t xml:space="preserve">저장만 계산합니다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</si>
  <si>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디코드 코어 </t>
    </r>
    <r>
      <rPr>
        <sz val="11"/>
        <rFont val="Arial"/>
        <family val="0"/>
        <charset val="1"/>
      </rPr>
      <t xml:space="preserve">(recurrent): </t>
    </r>
    <r>
      <rPr>
        <sz val="11"/>
        <rFont val="Noto Sans CJK SC"/>
        <family val="2"/>
      </rPr>
      <t xml:space="preserve">토큰당 </t>
    </r>
    <r>
      <rPr>
        <sz val="11"/>
        <rFont val="Arial"/>
        <family val="0"/>
        <charset val="1"/>
      </rPr>
      <t xml:space="preserve">value head</t>
    </r>
    <r>
      <rPr>
        <sz val="11"/>
        <rFont val="Noto Sans CJK SC"/>
        <family val="2"/>
      </rPr>
      <t xml:space="preserve">당 약 </t>
    </r>
    <r>
      <rPr>
        <sz val="11"/>
        <rFont val="Arial"/>
        <family val="0"/>
        <charset val="1"/>
      </rPr>
      <t xml:space="preserve">7·dk·dv ops (decay, S·k, rank-1 update, S·q). </t>
    </r>
    <r>
      <rPr>
        <sz val="11"/>
        <rFont val="Noto Sans CJK SC"/>
        <family val="2"/>
      </rPr>
      <t xml:space="preserve">전체 </t>
    </r>
    <r>
      <rPr>
        <sz val="11"/>
        <rFont val="Arial"/>
        <family val="0"/>
        <charset val="1"/>
      </rPr>
      <t xml:space="preserve">state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SRAM</t>
    </r>
    <r>
      <rPr>
        <sz val="11"/>
        <rFont val="Noto Sans CJK SC"/>
        <family val="2"/>
      </rPr>
      <t xml:space="preserve">보다 크므로 매 토큰 </t>
    </r>
    <r>
      <rPr>
        <sz val="11"/>
        <rFont val="Arial"/>
        <family val="0"/>
        <charset val="1"/>
      </rPr>
      <t xml:space="preserve">layer</t>
    </r>
    <r>
      <rPr>
        <sz val="11"/>
        <rFont val="Noto Sans CJK SC"/>
        <family val="2"/>
      </rPr>
      <t xml:space="preserve">마다 </t>
    </r>
    <r>
      <rPr>
        <sz val="11"/>
        <rFont val="Arial"/>
        <family val="0"/>
        <charset val="1"/>
      </rPr>
      <t xml:space="preserve">state</t>
    </r>
    <r>
      <rPr>
        <sz val="11"/>
        <rFont val="Noto Sans CJK SC"/>
        <family val="2"/>
      </rPr>
      <t xml:space="preserve">를 </t>
    </r>
    <r>
      <rPr>
        <sz val="11"/>
        <rFont val="Arial"/>
        <family val="0"/>
        <charset val="1"/>
      </rPr>
      <t xml:space="preserve">DRAM</t>
    </r>
    <r>
      <rPr>
        <sz val="11"/>
        <rFont val="Noto Sans CJK SC"/>
        <family val="2"/>
      </rPr>
      <t xml:space="preserve">에서 읽고 다시 씁니다 </t>
    </r>
    <r>
      <rPr>
        <sz val="11"/>
        <rFont val="Arial"/>
        <family val="0"/>
        <charset val="1"/>
      </rPr>
      <t xml:space="preserve">(state bit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설정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에서 지정</t>
    </r>
    <r>
      <rPr>
        <sz val="11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</si>
  <si>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- Qwen3.6 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state = 32 head × 128 × 128 × 4B = layer</t>
    </r>
    <r>
      <rPr>
        <sz val="11"/>
        <rFont val="Noto Sans CJK SC"/>
        <family val="2"/>
      </rPr>
      <t xml:space="preserve">당 </t>
    </r>
    <r>
      <rPr>
        <sz val="11"/>
        <rFont val="Arial"/>
        <family val="0"/>
        <charset val="1"/>
      </rPr>
      <t xml:space="preserve">2MB, 30 layer</t>
    </r>
    <r>
      <rPr>
        <sz val="11"/>
        <rFont val="Noto Sans CJK SC"/>
        <family val="2"/>
      </rPr>
      <t xml:space="preserve">면 </t>
    </r>
    <r>
      <rPr>
        <sz val="11"/>
        <rFont val="Arial"/>
        <family val="0"/>
        <charset val="1"/>
      </rPr>
      <t xml:space="preserve">60MB. </t>
    </r>
    <r>
      <rPr>
        <sz val="11"/>
        <rFont val="Noto Sans CJK SC"/>
        <family val="2"/>
      </rPr>
      <t xml:space="preserve">디코드 토큰당 </t>
    </r>
    <r>
      <rPr>
        <sz val="11"/>
        <rFont val="Arial"/>
        <family val="0"/>
        <charset val="1"/>
      </rPr>
      <t xml:space="preserve">120MB </t>
    </r>
    <r>
      <rPr>
        <sz val="11"/>
        <rFont val="Noto Sans CJK SC"/>
        <family val="2"/>
      </rPr>
      <t xml:space="preserve">읽기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쓰기가 생기며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컨텍스트 길이와 무관하게 일정합니다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</si>
  <si>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GDN </t>
    </r>
    <r>
      <rPr>
        <sz val="11"/>
        <rFont val="Noto Sans CJK SC"/>
        <family val="2"/>
      </rPr>
      <t xml:space="preserve">코어는 </t>
    </r>
    <r>
      <rPr>
        <sz val="11"/>
        <rFont val="Arial"/>
        <family val="0"/>
        <charset val="1"/>
      </rPr>
      <t xml:space="preserve">'GDN </t>
    </r>
    <r>
      <rPr>
        <sz val="11"/>
        <rFont val="Noto Sans CJK SC"/>
        <family val="2"/>
      </rPr>
      <t xml:space="preserve">코어 피크 </t>
    </r>
    <r>
      <rPr>
        <sz val="11"/>
        <rFont val="Arial"/>
        <family val="0"/>
        <charset val="1"/>
      </rPr>
      <t xml:space="preserve">TOPS'</t>
    </r>
    <r>
      <rPr>
        <sz val="11"/>
        <rFont val="Noto Sans CJK SC"/>
        <family val="2"/>
      </rPr>
      <t xml:space="preserve">를 사용합니다</t>
    </r>
    <r>
      <rPr>
        <sz val="11"/>
        <rFont val="Arial"/>
        <family val="0"/>
        <charset val="1"/>
      </rPr>
      <t xml:space="preserve">. NPU</t>
    </r>
    <r>
      <rPr>
        <sz val="11"/>
        <rFont val="Noto Sans CJK SC"/>
        <family val="2"/>
      </rPr>
      <t xml:space="preserve">에서 지원하지 않아 </t>
    </r>
    <r>
      <rPr>
        <sz val="11"/>
        <rFont val="Arial"/>
        <family val="0"/>
        <charset val="1"/>
      </rPr>
      <t xml:space="preserve">CPU/DSP</t>
    </r>
    <r>
      <rPr>
        <sz val="11"/>
        <rFont val="Noto Sans CJK SC"/>
        <family val="2"/>
      </rPr>
      <t xml:space="preserve">로 </t>
    </r>
    <r>
      <rPr>
        <sz val="11"/>
        <rFont val="Arial"/>
        <family val="0"/>
        <charset val="1"/>
      </rPr>
      <t xml:space="preserve">fallback</t>
    </r>
    <r>
      <rPr>
        <sz val="11"/>
        <rFont val="Noto Sans CJK SC"/>
        <family val="2"/>
      </rPr>
      <t xml:space="preserve">되는 경우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그 성능을 여기에 넣으면 됩니다</t>
    </r>
    <r>
      <rPr>
        <sz val="11"/>
        <rFont val="Arial"/>
        <family val="0"/>
        <charset val="1"/>
      </rPr>
      <t xml:space="preserve">. conv1d, gated RMSNorm </t>
    </r>
    <r>
      <rPr>
        <sz val="11"/>
        <rFont val="Noto Sans CJK SC"/>
        <family val="2"/>
      </rPr>
      <t xml:space="preserve">등은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기타 연산 오버헤드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포함됩니다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</si>
  <si>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MoE top-k </t>
    </r>
    <r>
      <rPr>
        <b val="true"/>
        <sz val="11"/>
        <rFont val="Noto Sans CJK SC"/>
        <family val="2"/>
      </rPr>
      <t xml:space="preserve">오버헤드</t>
    </r>
  </si>
  <si>
    <r>
      <rPr>
        <sz val="11"/>
        <rFont val="Arial"/>
        <family val="0"/>
        <charset val="1"/>
      </rPr>
      <t xml:space="preserve">- CPU </t>
    </r>
    <r>
      <rPr>
        <sz val="11"/>
        <rFont val="Noto Sans CJK SC"/>
        <family val="2"/>
      </rPr>
      <t xml:space="preserve">실행</t>
    </r>
    <r>
      <rPr>
        <sz val="11"/>
        <rFont val="Arial"/>
        <family val="0"/>
        <charset val="1"/>
      </rPr>
      <t xml:space="preserve">: MoE layer </t>
    </r>
    <r>
      <rPr>
        <sz val="11"/>
        <rFont val="Noto Sans CJK SC"/>
        <family val="2"/>
      </rPr>
      <t xml:space="preserve">수 </t>
    </r>
    <r>
      <rPr>
        <sz val="11"/>
        <rFont val="Arial"/>
        <family val="0"/>
        <charset val="1"/>
      </rPr>
      <t xml:space="preserve">× [</t>
    </r>
    <r>
      <rPr>
        <sz val="11"/>
        <rFont val="Noto Sans CJK SC"/>
        <family val="2"/>
      </rPr>
      <t xml:space="preserve">왕복 고정 지연 </t>
    </r>
    <r>
      <rPr>
        <sz val="11"/>
        <rFont val="Arial"/>
        <family val="0"/>
        <charset val="1"/>
      </rPr>
      <t xml:space="preserve">+ (</t>
    </r>
    <r>
      <rPr>
        <sz val="11"/>
        <rFont val="Noto Sans CJK SC"/>
        <family val="2"/>
      </rPr>
      <t xml:space="preserve">토큰수</t>
    </r>
    <r>
      <rPr>
        <sz val="11"/>
        <rFont val="Arial"/>
        <family val="0"/>
        <charset val="1"/>
      </rPr>
      <t xml:space="preserve">×E×logit </t>
    </r>
    <r>
      <rPr>
        <sz val="11"/>
        <rFont val="Noto Sans CJK SC"/>
        <family val="2"/>
      </rPr>
      <t xml:space="preserve">바이트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토큰수</t>
    </r>
    <r>
      <rPr>
        <sz val="11"/>
        <rFont val="Arial"/>
        <family val="0"/>
        <charset val="1"/>
      </rPr>
      <t xml:space="preserve">×k×</t>
    </r>
    <r>
      <rPr>
        <sz val="11"/>
        <rFont val="Noto Sans CJK SC"/>
        <family val="2"/>
      </rPr>
      <t xml:space="preserve">반환 바이트</t>
    </r>
    <r>
      <rPr>
        <sz val="11"/>
        <rFont val="Arial"/>
        <family val="0"/>
        <charset val="1"/>
      </rPr>
      <t xml:space="preserve">) ÷ </t>
    </r>
    <r>
      <rPr>
        <sz val="11"/>
        <rFont val="Noto Sans CJK SC"/>
        <family val="2"/>
      </rPr>
      <t xml:space="preserve">전송 대역폭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토큰수</t>
    </r>
    <r>
      <rPr>
        <sz val="11"/>
        <rFont val="Arial"/>
        <family val="0"/>
        <charset val="1"/>
      </rPr>
      <t xml:space="preserve">×E×CPU ns/logit]. NPU </t>
    </r>
    <r>
      <rPr>
        <sz val="11"/>
        <rFont val="Noto Sans CJK SC"/>
        <family val="2"/>
      </rPr>
      <t xml:space="preserve">실행</t>
    </r>
    <r>
      <rPr>
        <sz val="11"/>
        <rFont val="Arial"/>
        <family val="0"/>
        <charset val="1"/>
      </rPr>
      <t xml:space="preserve">: MoE layer </t>
    </r>
    <r>
      <rPr>
        <sz val="11"/>
        <rFont val="Noto Sans CJK SC"/>
        <family val="2"/>
      </rPr>
      <t xml:space="preserve">수 </t>
    </r>
    <r>
      <rPr>
        <sz val="11"/>
        <rFont val="Arial"/>
        <family val="0"/>
        <charset val="1"/>
      </rPr>
      <t xml:space="preserve">× NPU </t>
    </r>
    <r>
      <rPr>
        <sz val="11"/>
        <rFont val="Noto Sans CJK SC"/>
        <family val="2"/>
      </rPr>
      <t xml:space="preserve">내부 </t>
    </r>
    <r>
      <rPr>
        <sz val="11"/>
        <rFont val="Arial"/>
        <family val="0"/>
        <charset val="1"/>
      </rPr>
      <t xml:space="preserve">top-k </t>
    </r>
    <r>
      <rPr>
        <sz val="11"/>
        <rFont val="Noto Sans CJK SC"/>
        <family val="2"/>
      </rPr>
      <t xml:space="preserve">비용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</si>
  <si>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top-k</t>
    </r>
    <r>
      <rPr>
        <sz val="11"/>
        <rFont val="Noto Sans CJK SC"/>
        <family val="2"/>
      </rPr>
      <t xml:space="preserve">가 끝나야 </t>
    </r>
    <r>
      <rPr>
        <sz val="11"/>
        <rFont val="Arial"/>
        <family val="0"/>
        <charset val="1"/>
      </rPr>
      <t xml:space="preserve">expert </t>
    </r>
    <r>
      <rPr>
        <sz val="11"/>
        <rFont val="Noto Sans CJK SC"/>
        <family val="2"/>
      </rPr>
      <t xml:space="preserve">연산을 시작할 수 있으므로 다른 연산과 겹치지 않는 직렬 구간으로 더합니다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디코드는 사실상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왕복 고정 지연 </t>
    </r>
    <r>
      <rPr>
        <sz val="11"/>
        <rFont val="Arial"/>
        <family val="0"/>
        <charset val="1"/>
      </rPr>
      <t xml:space="preserve">× MoE layer </t>
    </r>
    <r>
      <rPr>
        <sz val="11"/>
        <rFont val="Noto Sans CJK SC"/>
        <family val="2"/>
      </rPr>
      <t xml:space="preserve">수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입니다 </t>
    </r>
    <r>
      <rPr>
        <sz val="11"/>
        <rFont val="Arial"/>
        <family val="0"/>
        <charset val="1"/>
      </rPr>
      <t xml:space="preserve">(Qwen3.6 40 layer, Gemma 4 30 layer, gpt-oss 24 layer).</t>
    </r>
  </si>
  <si>
    <r>
      <rPr>
        <b val="true"/>
        <sz val="11"/>
        <rFont val="Noto Sans CJK SC"/>
        <family val="2"/>
      </rPr>
      <t xml:space="preserve">응답 완료 시간과 </t>
    </r>
    <r>
      <rPr>
        <b val="true"/>
        <sz val="11"/>
        <rFont val="Arial"/>
        <family val="0"/>
        <charset val="1"/>
      </rPr>
      <t xml:space="preserve">DRAM </t>
    </r>
    <r>
      <rPr>
        <b val="true"/>
        <sz val="11"/>
        <rFont val="Noto Sans CJK SC"/>
        <family val="2"/>
      </rPr>
      <t xml:space="preserve">용량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</si>
  <si>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응답 완료 시간 </t>
    </r>
    <r>
      <rPr>
        <sz val="11"/>
        <rFont val="Arial"/>
        <family val="0"/>
        <charset val="1"/>
      </rPr>
      <t xml:space="preserve">= TTFT + (</t>
    </r>
    <r>
      <rPr>
        <sz val="11"/>
        <rFont val="Noto Sans CJK SC"/>
        <family val="2"/>
      </rPr>
      <t xml:space="preserve">출력 토큰 수 − </t>
    </r>
    <r>
      <rPr>
        <sz val="11"/>
        <rFont val="Arial"/>
        <family val="0"/>
        <charset val="1"/>
      </rPr>
      <t xml:space="preserve">1) × </t>
    </r>
    <r>
      <rPr>
        <sz val="11"/>
        <rFont val="Noto Sans CJK SC"/>
        <family val="2"/>
      </rPr>
      <t xml:space="preserve">출력 구간 평균 토큰당 시간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첫 출력 토큰은 프리필이 만들고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평균 토큰당 시간은 컨텍스트가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입력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출력</t>
    </r>
    <r>
      <rPr>
        <sz val="11"/>
        <rFont val="Arial"/>
        <family val="0"/>
        <charset val="1"/>
      </rPr>
      <t xml:space="preserve">/2'</t>
    </r>
    <r>
      <rPr>
        <sz val="11"/>
        <rFont val="Noto Sans CJK SC"/>
        <family val="2"/>
      </rPr>
      <t xml:space="preserve">인 시점으로 계산합니다 </t>
    </r>
    <r>
      <rPr>
        <sz val="11"/>
        <rFont val="Arial"/>
        <family val="0"/>
        <charset val="1"/>
      </rPr>
      <t xml:space="preserve">(KV </t>
    </r>
    <r>
      <rPr>
        <sz val="11"/>
        <rFont val="Noto Sans CJK SC"/>
        <family val="2"/>
      </rPr>
      <t xml:space="preserve">읽기량이 컨텍스트에 선형이므로 평균과 같음</t>
    </r>
    <r>
      <rPr>
        <sz val="11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</si>
  <si>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필요 </t>
    </r>
    <r>
      <rPr>
        <sz val="11"/>
        <rFont val="Arial"/>
        <family val="0"/>
        <charset val="1"/>
      </rPr>
      <t xml:space="preserve">DRAM = </t>
    </r>
    <r>
      <rPr>
        <sz val="11"/>
        <rFont val="Noto Sans CJK SC"/>
        <family val="2"/>
      </rPr>
      <t xml:space="preserve">가중치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경량화 후</t>
    </r>
    <r>
      <rPr>
        <sz val="11"/>
        <rFont val="Arial"/>
        <family val="0"/>
        <charset val="1"/>
      </rPr>
      <t xml:space="preserve">) + KV cache(</t>
    </r>
    <r>
      <rPr>
        <sz val="11"/>
        <rFont val="Noto Sans CJK SC"/>
        <family val="2"/>
      </rPr>
      <t xml:space="preserve">입력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출력 토큰 전체</t>
    </r>
    <r>
      <rPr>
        <sz val="11"/>
        <rFont val="Arial"/>
        <family val="0"/>
        <charset val="1"/>
      </rPr>
      <t xml:space="preserve">, sliding</t>
    </r>
    <r>
      <rPr>
        <sz val="11"/>
        <rFont val="Noto Sans CJK SC"/>
        <family val="2"/>
      </rPr>
      <t xml:space="preserve">은 </t>
    </r>
    <r>
      <rPr>
        <sz val="11"/>
        <rFont val="Arial"/>
        <family val="0"/>
        <charset val="1"/>
      </rPr>
      <t xml:space="preserve">window</t>
    </r>
    <r>
      <rPr>
        <sz val="11"/>
        <rFont val="Noto Sans CJK SC"/>
        <family val="2"/>
      </rPr>
      <t xml:space="preserve">까지</t>
    </r>
    <r>
      <rPr>
        <sz val="11"/>
        <rFont val="Arial"/>
        <family val="0"/>
        <charset val="1"/>
      </rPr>
      <t xml:space="preserve">) + GDN state + </t>
    </r>
    <r>
      <rPr>
        <sz val="11"/>
        <rFont val="Noto Sans CJK SC"/>
        <family val="2"/>
      </rPr>
      <t xml:space="preserve">작업 버퍼</t>
    </r>
    <r>
      <rPr>
        <sz val="11"/>
        <rFont val="Arial"/>
        <family val="0"/>
        <charset val="1"/>
      </rPr>
      <t xml:space="preserve">. '</t>
    </r>
    <r>
      <rPr>
        <sz val="11"/>
        <rFont val="Noto Sans CJK SC"/>
        <family val="2"/>
      </rPr>
      <t xml:space="preserve">설정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DRAM </t>
    </r>
    <r>
      <rPr>
        <sz val="11"/>
        <rFont val="Noto Sans CJK SC"/>
        <family val="2"/>
      </rPr>
      <t xml:space="preserve">용량 − 예약 용량과 비교해 </t>
    </r>
    <r>
      <rPr>
        <sz val="11"/>
        <rFont val="Arial"/>
        <family val="0"/>
        <charset val="1"/>
      </rPr>
      <t xml:space="preserve">OK/</t>
    </r>
    <r>
      <rPr>
        <sz val="11"/>
        <rFont val="Noto Sans CJK SC"/>
        <family val="2"/>
      </rPr>
      <t xml:space="preserve">초과를 표시하고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결과 시트에서 초과 칸은 빨간색으로 표시됩니다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</si>
  <si>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용량 단위는 </t>
    </r>
    <r>
      <rPr>
        <sz val="11"/>
        <rFont val="Arial"/>
        <family val="0"/>
        <charset val="1"/>
      </rPr>
      <t xml:space="preserve">GiB(2^30 B)</t>
    </r>
    <r>
      <rPr>
        <sz val="11"/>
        <rFont val="Noto Sans CJK SC"/>
        <family val="2"/>
      </rPr>
      <t xml:space="preserve">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가중치 저장 크기는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모델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시트의 </t>
    </r>
    <r>
      <rPr>
        <sz val="11"/>
        <rFont val="Arial"/>
        <family val="0"/>
        <charset val="1"/>
      </rPr>
      <t xml:space="preserve">GB(10^9 B) </t>
    </r>
    <r>
      <rPr>
        <sz val="11"/>
        <rFont val="Noto Sans CJK SC"/>
        <family val="2"/>
      </rPr>
      <t xml:space="preserve">값을 </t>
    </r>
    <r>
      <rPr>
        <sz val="11"/>
        <rFont val="Arial"/>
        <family val="0"/>
        <charset val="1"/>
      </rPr>
      <t xml:space="preserve">GiB</t>
    </r>
    <r>
      <rPr>
        <sz val="11"/>
        <rFont val="Noto Sans CJK SC"/>
        <family val="2"/>
      </rPr>
      <t xml:space="preserve">로 환산합니다</t>
    </r>
    <r>
      <rPr>
        <sz val="11"/>
        <rFont val="Arial"/>
        <family val="0"/>
        <charset val="1"/>
      </rPr>
      <t xml:space="preserve">.</t>
    </r>
  </si>
  <si>
    <t xml:space="preserve">주의 사항</t>
  </si>
  <si>
    <r>
      <rPr>
        <sz val="11"/>
        <rFont val="Arial"/>
        <family val="0"/>
        <charset val="1"/>
      </rPr>
      <t xml:space="preserve">- gpt-oss-20b </t>
    </r>
    <r>
      <rPr>
        <sz val="11"/>
        <rFont val="Noto Sans CJK SC"/>
        <family val="2"/>
      </rPr>
      <t xml:space="preserve">원본은 </t>
    </r>
    <r>
      <rPr>
        <sz val="11"/>
        <rFont val="Arial"/>
        <family val="0"/>
        <charset val="1"/>
      </rPr>
      <t xml:space="preserve">expert</t>
    </r>
    <r>
      <rPr>
        <sz val="11"/>
        <rFont val="Noto Sans CJK SC"/>
        <family val="2"/>
      </rPr>
      <t xml:space="preserve">만 </t>
    </r>
    <r>
      <rPr>
        <sz val="11"/>
        <rFont val="Arial"/>
        <family val="0"/>
        <charset val="1"/>
      </rPr>
      <t xml:space="preserve">MXFP4</t>
    </r>
    <r>
      <rPr>
        <sz val="11"/>
        <rFont val="Noto Sans CJK SC"/>
        <family val="2"/>
      </rPr>
      <t xml:space="preserve">이고 </t>
    </r>
    <r>
      <rPr>
        <sz val="11"/>
        <rFont val="Arial"/>
        <family val="0"/>
        <charset val="1"/>
      </rPr>
      <t xml:space="preserve">attention/router/lm_head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BF16</t>
    </r>
    <r>
      <rPr>
        <sz val="11"/>
        <rFont val="Noto Sans CJK SC"/>
        <family val="2"/>
      </rPr>
      <t xml:space="preserve">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이 계산기는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설정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의 구분별 </t>
    </r>
    <r>
      <rPr>
        <sz val="11"/>
        <rFont val="Arial"/>
        <family val="0"/>
        <charset val="1"/>
      </rPr>
      <t xml:space="preserve">bit</t>
    </r>
    <r>
      <rPr>
        <sz val="11"/>
        <rFont val="Noto Sans CJK SC"/>
        <family val="2"/>
      </rPr>
      <t xml:space="preserve">를 그대로 적용합니다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</si>
  <si>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Gemma 4 global layer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V=K(v_proj </t>
    </r>
    <r>
      <rPr>
        <sz val="11"/>
        <rFont val="Noto Sans CJK SC"/>
        <family val="2"/>
      </rPr>
      <t xml:space="preserve">없음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지만</t>
    </r>
    <r>
      <rPr>
        <sz val="11"/>
        <rFont val="Arial"/>
        <family val="0"/>
        <charset val="1"/>
      </rPr>
      <t xml:space="preserve">, k_norm/v_norm</t>
    </r>
    <r>
      <rPr>
        <sz val="11"/>
        <rFont val="Noto Sans CJK SC"/>
        <family val="2"/>
      </rPr>
      <t xml:space="preserve">이 따로 적용되므로 </t>
    </r>
    <r>
      <rPr>
        <sz val="11"/>
        <rFont val="Arial"/>
        <family val="0"/>
        <charset val="1"/>
      </rPr>
      <t xml:space="preserve">KV cache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K</t>
    </r>
    <r>
      <rPr>
        <sz val="11"/>
        <rFont val="Noto Sans CJK SC"/>
        <family val="2"/>
      </rPr>
      <t xml:space="preserve">와 </t>
    </r>
    <r>
      <rPr>
        <sz val="11"/>
        <rFont val="Arial"/>
        <family val="0"/>
        <charset val="1"/>
      </rPr>
      <t xml:space="preserve">V</t>
    </r>
    <r>
      <rPr>
        <sz val="11"/>
        <rFont val="Noto Sans CJK SC"/>
        <family val="2"/>
      </rPr>
      <t xml:space="preserve">를 모두 저장하는 것으로 가정했습니다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</si>
  <si>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Qwen3.6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MTP layer(</t>
    </r>
    <r>
      <rPr>
        <sz val="11"/>
        <rFont val="Noto Sans CJK SC"/>
        <family val="2"/>
      </rPr>
      <t xml:space="preserve">추측 디코딩용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와 </t>
    </r>
    <r>
      <rPr>
        <sz val="11"/>
        <rFont val="Arial"/>
        <family val="0"/>
        <charset val="1"/>
      </rPr>
      <t xml:space="preserve">vision/audio tower</t>
    </r>
    <r>
      <rPr>
        <sz val="11"/>
        <rFont val="Noto Sans CJK SC"/>
        <family val="2"/>
      </rPr>
      <t xml:space="preserve">는 포함하지 않았습니다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</si>
  <si>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실측 대비 오차 요인</t>
    </r>
    <r>
      <rPr>
        <sz val="11"/>
        <rFont val="Arial"/>
        <family val="0"/>
        <charset val="1"/>
      </rPr>
      <t xml:space="preserve">: dequant </t>
    </r>
    <r>
      <rPr>
        <sz val="11"/>
        <rFont val="Noto Sans CJK SC"/>
        <family val="2"/>
      </rPr>
      <t xml:space="preserve">오버헤드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연산자 </t>
    </r>
    <r>
      <rPr>
        <sz val="11"/>
        <rFont val="Arial"/>
        <family val="0"/>
        <charset val="1"/>
      </rPr>
      <t xml:space="preserve">fallback, </t>
    </r>
    <r>
      <rPr>
        <sz val="11"/>
        <rFont val="Noto Sans CJK SC"/>
        <family val="2"/>
      </rPr>
      <t xml:space="preserve">레이어 퓨전 여부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라우팅 불균형</t>
    </r>
    <r>
      <rPr>
        <sz val="11"/>
        <rFont val="Arial"/>
        <family val="0"/>
        <charset val="1"/>
      </rPr>
      <t xml:space="preserve">, DMA </t>
    </r>
    <r>
      <rPr>
        <sz val="11"/>
        <rFont val="Noto Sans CJK SC"/>
        <family val="2"/>
      </rPr>
      <t xml:space="preserve">오버랩 효율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</si>
  <si>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실측값이 생기면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대역폭 실효율</t>
    </r>
    <r>
      <rPr>
        <sz val="11"/>
        <rFont val="Arial"/>
        <family val="0"/>
        <charset val="1"/>
      </rPr>
      <t xml:space="preserve">', '</t>
    </r>
    <r>
      <rPr>
        <sz val="11"/>
        <rFont val="Noto Sans CJK SC"/>
        <family val="2"/>
      </rPr>
      <t xml:space="preserve">연산 실효율</t>
    </r>
    <r>
      <rPr>
        <sz val="11"/>
        <rFont val="Arial"/>
        <family val="0"/>
        <charset val="1"/>
      </rPr>
      <t xml:space="preserve">', 'top-k </t>
    </r>
    <r>
      <rPr>
        <sz val="11"/>
        <rFont val="Noto Sans CJK SC"/>
        <family val="2"/>
      </rPr>
      <t xml:space="preserve">왕복 고정 지연</t>
    </r>
    <r>
      <rPr>
        <sz val="11"/>
        <rFont val="Arial"/>
        <family val="0"/>
        <charset val="1"/>
      </rPr>
      <t xml:space="preserve">', 'GDN </t>
    </r>
    <r>
      <rPr>
        <sz val="11"/>
        <rFont val="Noto Sans CJK SC"/>
        <family val="2"/>
      </rPr>
      <t xml:space="preserve">코어 </t>
    </r>
    <r>
      <rPr>
        <sz val="11"/>
        <rFont val="Arial"/>
        <family val="0"/>
        <charset val="1"/>
      </rPr>
      <t xml:space="preserve">TOPS'</t>
    </r>
    <r>
      <rPr>
        <sz val="11"/>
        <rFont val="Noto Sans CJK SC"/>
        <family val="2"/>
      </rPr>
      <t xml:space="preserve">를 맞춰 보정하는 방식으로 쓰면 좋습니다</t>
    </r>
    <r>
      <rPr>
        <sz val="11"/>
        <rFont val="Arial"/>
        <family val="0"/>
        <charset val="1"/>
      </rPr>
      <t xml:space="preserve">.</t>
    </r>
  </si>
  <si>
    <t xml:space="preserve">색상 규칙</t>
  </si>
  <si>
    <r>
      <rPr>
        <sz val="11"/>
        <rFont val="Noto Sans CJK SC"/>
        <family val="2"/>
      </rPr>
      <t xml:space="preserve">노란 배경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파란 글씨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입력값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검정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계산식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초록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다른 시트 참조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연두 배경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최종 결과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</si>
</sst>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#,##0.0"/>
    <numFmt numFmtId="167" formatCode="#,##0"/>
    <numFmt numFmtId="168" formatCode="0.000"/>
    <numFmt numFmtId="169" formatCode="#,##0.00"/>
    <numFmt numFmtId="170" formatCode="0%"/>
    <numFmt numFmtId="171" formatCode="0.0"/>
    <numFmt numFmtId="172" formatCode="0"/>
    <numFmt numFmtId="173" formatCode="0.00E+00"/>
    <numFmt numFmtId="174" formatCode="@"/>
    <numFmt numFmtId="175" formatCode="0.0%"/>
    <numFmt numFmtId="176" formatCode="0.0000"/>
    <numFmt numFmtId="177" formatCode="0.0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  <font>
      <sz val="11"/>
      <color rgb="FF008000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8000"/>
      <name val="Noto Sans CJK SC"/>
      <family val="2"/>
    </font>
    <font>
      <i val="true"/>
      <sz val="11"/>
      <color rgb="FF595959"/>
      <name val="Arial"/>
      <family val="0"/>
      <charset val="1"/>
    </font>
    <font>
      <i val="true"/>
      <sz val="11"/>
      <color rgb="FF595959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color rgb="FF595959"/>
      <name val="Noto Sans CJK SC"/>
      <family val="2"/>
    </font>
    <font>
      <sz val="11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305496"/>
        <bgColor rgb="FF595959"/>
      </patternFill>
    </fill>
    <fill>
      <patternFill patternType="solid">
        <fgColor rgb="FFFFF2CC"/>
        <bgColor rgb="FFE2EFDA"/>
      </patternFill>
    </fill>
    <fill>
      <patternFill patternType="solid">
        <fgColor rgb="FF8EA9DB"/>
        <bgColor rgb="FF969696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8EA9DB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TTFT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"Llama 3.1 8B Instruct"</c:f>
              <c:strCache>
                <c:ptCount val="1"/>
                <c:pt idx="0">
                  <c:v>Llama 3.1 8B Instruct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결과!$B$17:$B$23</c:f>
              <c:numCache>
                <c:formatCode>#,##0.0</c:formatCode>
                <c:ptCount val="7"/>
                <c:pt idx="0">
                  <c:v>112.503976156863</c:v>
                </c:pt>
                <c:pt idx="1">
                  <c:v>193.290284570102</c:v>
                </c:pt>
                <c:pt idx="2">
                  <c:v>359.837773595106</c:v>
                </c:pt>
                <c:pt idx="3">
                  <c:v>698.306395240408</c:v>
                </c:pt>
                <c:pt idx="4">
                  <c:v>1415.96463927617</c:v>
                </c:pt>
                <c:pt idx="5">
                  <c:v>2905.97504888671</c:v>
                </c:pt>
                <c:pt idx="6">
                  <c:v>6209.25906861679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"gpt-oss-20b"</c:f>
              <c:strCache>
                <c:ptCount val="1"/>
                <c:pt idx="0">
                  <c:v>gpt-oss-20b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결과!$D$17:$D$23</c:f>
              <c:numCache>
                <c:formatCode>#,##0.0</c:formatCode>
                <c:ptCount val="7"/>
                <c:pt idx="0">
                  <c:v>235.490750625802</c:v>
                </c:pt>
                <c:pt idx="1">
                  <c:v>247.613170381804</c:v>
                </c:pt>
                <c:pt idx="2">
                  <c:v>273.750536668863</c:v>
                </c:pt>
                <c:pt idx="3">
                  <c:v>328.362202046745</c:v>
                </c:pt>
                <c:pt idx="4">
                  <c:v>607.39417157371</c:v>
                </c:pt>
                <c:pt idx="5">
                  <c:v>1243.69047392477</c:v>
                </c:pt>
                <c:pt idx="6">
                  <c:v>2629.67021524129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"Qwen3.6-35B-A3B"</c:f>
              <c:strCache>
                <c:ptCount val="1"/>
                <c:pt idx="0">
                  <c:v>Qwen3.6-35B-A3B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결과!$F$17:$F$23</c:f>
              <c:numCache>
                <c:formatCode>#,##0.0</c:formatCode>
                <c:ptCount val="7"/>
                <c:pt idx="0">
                  <c:v>393.942581594098</c:v>
                </c:pt>
                <c:pt idx="1">
                  <c:v>426.254754698491</c:v>
                </c:pt>
                <c:pt idx="2">
                  <c:v>483.980488314186</c:v>
                </c:pt>
                <c:pt idx="3">
                  <c:v>601.459181206586</c:v>
                </c:pt>
                <c:pt idx="4">
                  <c:v>842.385184165647</c:v>
                </c:pt>
                <c:pt idx="5">
                  <c:v>1347.85951021177</c:v>
                </c:pt>
                <c:pt idx="6">
                  <c:v>2453.297442816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"Gemma 4 26B-A4B"</c:f>
              <c:strCache>
                <c:ptCount val="1"/>
                <c:pt idx="0">
                  <c:v>Gemma 4 26B-A4B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결과!$H$17:$H$23</c:f>
              <c:numCache>
                <c:formatCode>#,##0.0</c:formatCode>
                <c:ptCount val="7"/>
                <c:pt idx="0">
                  <c:v>296.324852768697</c:v>
                </c:pt>
                <c:pt idx="1">
                  <c:v>323.102940355646</c:v>
                </c:pt>
                <c:pt idx="2">
                  <c:v>380.552600706509</c:v>
                </c:pt>
                <c:pt idx="3">
                  <c:v>500.410860393412</c:v>
                </c:pt>
                <c:pt idx="4">
                  <c:v>753.087902489098</c:v>
                </c:pt>
                <c:pt idx="5">
                  <c:v>1340.10525518306</c:v>
                </c:pt>
                <c:pt idx="6">
                  <c:v>2804.57691576722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"Llama 3.2 3B Instruct"</c:f>
              <c:strCache>
                <c:ptCount val="1"/>
                <c:pt idx="0">
                  <c:v>Llama 3.2 3B Instruct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결과!$J$17:$J$23</c:f>
              <c:numCache>
                <c:formatCode>#,##0.0</c:formatCode>
                <c:ptCount val="7"/>
                <c:pt idx="0">
                  <c:v>40.5595050666667</c:v>
                </c:pt>
                <c:pt idx="1">
                  <c:v>72.6726344021333</c:v>
                </c:pt>
                <c:pt idx="2">
                  <c:v>139.202684450133</c:v>
                </c:pt>
                <c:pt idx="3">
                  <c:v>277.230532595953</c:v>
                </c:pt>
                <c:pt idx="4">
                  <c:v>566.612028199153</c:v>
                </c:pt>
                <c:pt idx="5">
                  <c:v>1194.98189167435</c:v>
                </c:pt>
                <c:pt idx="6">
                  <c:v>2650.14910769995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039365"/>
        <c:axId val="35922163"/>
      </c:lineChart>
      <c:catAx>
        <c:axId val="430393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입력 길이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22163"/>
        <c:crosses val="autoZero"/>
        <c:auto val="1"/>
        <c:lblAlgn val="ctr"/>
        <c:lblOffset val="100"/>
        <c:noMultiLvlLbl val="0"/>
      </c:catAx>
      <c:valAx>
        <c:axId val="35922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393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디코드 tok/s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"Llama 3.1 8B Instruct"</c:f>
              <c:strCache>
                <c:ptCount val="1"/>
                <c:pt idx="0">
                  <c:v>Llama 3.1 8B Instruct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결과!$C$17:$C$23</c:f>
              <c:numCache>
                <c:formatCode>#,##0.0</c:formatCode>
                <c:ptCount val="7"/>
                <c:pt idx="0">
                  <c:v>11.9205643836852</c:v>
                </c:pt>
                <c:pt idx="1">
                  <c:v>11.894909481183</c:v>
                </c:pt>
                <c:pt idx="2">
                  <c:v>11.843929536322</c:v>
                </c:pt>
                <c:pt idx="3">
                  <c:v>11.7432694630925</c:v>
                </c:pt>
                <c:pt idx="4">
                  <c:v>11.5469965098141</c:v>
                </c:pt>
                <c:pt idx="5">
                  <c:v>11.1734965780097</c:v>
                </c:pt>
                <c:pt idx="6">
                  <c:v>10.4945797989345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"gpt-oss-20b"</c:f>
              <c:strCache>
                <c:ptCount val="1"/>
                <c:pt idx="0">
                  <c:v>gpt-oss-20b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결과!$E$17:$E$23</c:f>
              <c:numCache>
                <c:formatCode>#,##0.0</c:formatCode>
                <c:ptCount val="7"/>
                <c:pt idx="0">
                  <c:v>23.4190762127434</c:v>
                </c:pt>
                <c:pt idx="1">
                  <c:v>23.4004849752163</c:v>
                </c:pt>
                <c:pt idx="2">
                  <c:v>23.3633909117328</c:v>
                </c:pt>
                <c:pt idx="3">
                  <c:v>23.2895544751703</c:v>
                </c:pt>
                <c:pt idx="4">
                  <c:v>23.1432729009027</c:v>
                </c:pt>
                <c:pt idx="5">
                  <c:v>22.8561541232198</c:v>
                </c:pt>
                <c:pt idx="6">
                  <c:v>22.3027713348793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"Qwen3.6-35B-A3B"</c:f>
              <c:strCache>
                <c:ptCount val="1"/>
                <c:pt idx="0">
                  <c:v>Qwen3.6-35B-A3B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결과!$G$17:$G$23</c:f>
              <c:numCache>
                <c:formatCode>#,##0.0</c:formatCode>
                <c:ptCount val="7"/>
                <c:pt idx="0">
                  <c:v>25.0608109323989</c:v>
                </c:pt>
                <c:pt idx="1">
                  <c:v>25.0430684208967</c:v>
                </c:pt>
                <c:pt idx="2">
                  <c:v>25.0076586592094</c:v>
                </c:pt>
                <c:pt idx="3">
                  <c:v>24.9371386954789</c:v>
                </c:pt>
                <c:pt idx="4">
                  <c:v>24.7972852465789</c:v>
                </c:pt>
                <c:pt idx="5">
                  <c:v>24.5222321395386</c:v>
                </c:pt>
                <c:pt idx="6">
                  <c:v>23.9900340905196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"Gemma 4 26B-A4B"</c:f>
              <c:strCache>
                <c:ptCount val="1"/>
                <c:pt idx="0">
                  <c:v>Gemma 4 26B-A4B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결과!$I$17:$I$23</c:f>
              <c:numCache>
                <c:formatCode>#,##0.0</c:formatCode>
                <c:ptCount val="7"/>
                <c:pt idx="0">
                  <c:v>21.5775390154094</c:v>
                </c:pt>
                <c:pt idx="1">
                  <c:v>21.4337172786434</c:v>
                </c:pt>
                <c:pt idx="2">
                  <c:v>21.151749868042</c:v>
                </c:pt>
                <c:pt idx="3">
                  <c:v>20.7302835274927</c:v>
                </c:pt>
                <c:pt idx="4">
                  <c:v>20.6335445474226</c:v>
                </c:pt>
                <c:pt idx="5">
                  <c:v>20.4427501669831</c:v>
                </c:pt>
                <c:pt idx="6">
                  <c:v>20.0715546294275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"Llama 3.2 3B Instruct"</c:f>
              <c:strCache>
                <c:ptCount val="1"/>
                <c:pt idx="0">
                  <c:v>Llama 3.2 3B Instruct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결과!$A$17:$A$23</c:f>
              <c:strCache>
                <c:ptCount val="7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1,024</c:v>
                </c:pt>
                <c:pt idx="4">
                  <c:v>2,048</c:v>
                </c:pt>
                <c:pt idx="5">
                  <c:v>4,096</c:v>
                </c:pt>
                <c:pt idx="6">
                  <c:v>8,192</c:v>
                </c:pt>
              </c:strCache>
            </c:strRef>
          </c:cat>
          <c:val>
            <c:numRef>
              <c:f>결과!$K$17:$K$23</c:f>
              <c:numCache>
                <c:formatCode>#,##0.0</c:formatCode>
                <c:ptCount val="7"/>
                <c:pt idx="0">
                  <c:v>27.7130902327437</c:v>
                </c:pt>
                <c:pt idx="1">
                  <c:v>27.5920334504744</c:v>
                </c:pt>
                <c:pt idx="2">
                  <c:v>27.3530652204445</c:v>
                </c:pt>
                <c:pt idx="3">
                  <c:v>26.887335217708</c:v>
                </c:pt>
                <c:pt idx="4">
                  <c:v>26.0018871782235</c:v>
                </c:pt>
                <c:pt idx="5">
                  <c:v>24.3951362390945</c:v>
                </c:pt>
                <c:pt idx="6">
                  <c:v>21.711830671158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691794"/>
        <c:axId val="51395488"/>
      </c:lineChart>
      <c:catAx>
        <c:axId val="73691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입력 길이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95488"/>
        <c:crosses val="autoZero"/>
        <c:auto val="1"/>
        <c:lblAlgn val="ctr"/>
        <c:lblOffset val="100"/>
        <c:noMultiLvlLbl val="0"/>
      </c:catAx>
      <c:valAx>
        <c:axId val="51395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tok/s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1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58</xdr:row>
      <xdr:rowOff>132840</xdr:rowOff>
    </xdr:from>
    <xdr:to>
      <xdr:col>8</xdr:col>
      <xdr:colOff>830880</xdr:colOff>
      <xdr:row>75</xdr:row>
      <xdr:rowOff>133920</xdr:rowOff>
    </xdr:to>
    <xdr:graphicFrame>
      <xdr:nvGraphicFramePr>
        <xdr:cNvPr id="0" name="Chart 1"/>
        <xdr:cNvGraphicFramePr/>
      </xdr:nvGraphicFramePr>
      <xdr:xfrm>
        <a:off x="0" y="1238256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79</xdr:row>
      <xdr:rowOff>132480</xdr:rowOff>
    </xdr:from>
    <xdr:to>
      <xdr:col>8</xdr:col>
      <xdr:colOff>830880</xdr:colOff>
      <xdr:row>96</xdr:row>
      <xdr:rowOff>133560</xdr:rowOff>
    </xdr:to>
    <xdr:graphicFrame>
      <xdr:nvGraphicFramePr>
        <xdr:cNvPr id="1" name="Chart 2"/>
        <xdr:cNvGraphicFramePr/>
      </xdr:nvGraphicFramePr>
      <xdr:xfrm>
        <a:off x="0" y="163828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</cols>
  <sheetData>
    <row r="1" customFormat="false" ht="21.6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4" t="str">
        <f aca="false">설정!$B$70</f>
        <v>Attn W4 / GDN W4 / FFN W4 / Router W8 / LM W4 / A8 / KV8 / state 32b / top-k CPU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7.15" hidden="false" customHeight="false" outlineLevel="0" collapsed="false">
      <c r="A3" s="2" t="s">
        <v>2</v>
      </c>
      <c r="B3" s="4" t="str">
        <f aca="false">설정!$B$5&amp;" GB/s (실효 "&amp;TEXT(설정!$B$6,"0%")&amp;"), SRAM "&amp;설정!$B$9&amp;" MB, 연산 실효율 "&amp;TEXT(설정!$B$7,"0%")</f>
        <v>68 GB/s (실효 75%), SRAM 4 MB, 연산 실효율 60%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7.15" hidden="false" customHeight="false" outlineLevel="0" collapsed="false">
      <c r="A4" s="3" t="s">
        <v>3</v>
      </c>
      <c r="B4" s="4" t="str">
        <f aca="false">"입력 + "&amp;설정!$B$51*설정!$B$52&amp;" 토큰 시점 기준"</f>
        <v>입력 + 128 토큰 시점 기준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7.15" hidden="false" customHeight="false" outlineLevel="0" collapsed="false">
      <c r="A5" s="3" t="s">
        <v>4</v>
      </c>
      <c r="B5" s="5" t="n">
        <f aca="false">설정!$B$62</f>
        <v>13</v>
      </c>
      <c r="C5" s="6" t="str">
        <f aca="false">"(DRAM "&amp;설정!$B$11&amp;" GiB − 예약 "&amp;설정!$B$12&amp;" GiB)"</f>
        <v>(DRAM 16 GiB − 예약 3 GiB)</v>
      </c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7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false" outlineLevel="0" collapsed="false">
      <c r="A7" s="8" t="s">
        <v>6</v>
      </c>
      <c r="B7" s="9" t="str">
        <f aca="false">모델!B6</f>
        <v>Llama 3.1 8B Instruct</v>
      </c>
      <c r="C7" s="9"/>
      <c r="D7" s="9" t="str">
        <f aca="false">모델!C6</f>
        <v>gpt-oss-20b</v>
      </c>
      <c r="E7" s="9"/>
      <c r="F7" s="9" t="str">
        <f aca="false">모델!D6</f>
        <v>Qwen3.6-35B-A3B</v>
      </c>
      <c r="G7" s="9"/>
      <c r="H7" s="9" t="str">
        <f aca="false">모델!E6</f>
        <v>Gemma 4 26B-A4B</v>
      </c>
      <c r="I7" s="9"/>
      <c r="J7" s="9" t="str">
        <f aca="false">모델!F6</f>
        <v>Llama 3.2 3B Instruct</v>
      </c>
      <c r="K7" s="9"/>
    </row>
    <row r="8" customFormat="false" ht="17.15" hidden="false" customHeight="false" outlineLevel="0" collapsed="false">
      <c r="A8" s="10" t="s">
        <v>7</v>
      </c>
      <c r="B8" s="11" t="n">
        <f aca="false">모델!$B$59</f>
        <v>8.029995008</v>
      </c>
      <c r="C8" s="11"/>
      <c r="D8" s="11" t="n">
        <f aca="false">모델!$C$59</f>
        <v>20.90778624</v>
      </c>
      <c r="E8" s="11"/>
      <c r="F8" s="11" t="n">
        <f aca="false">모델!$D$59</f>
        <v>34.65936896</v>
      </c>
      <c r="G8" s="11"/>
      <c r="H8" s="11" t="n">
        <f aca="false">모델!$E$59</f>
        <v>25.232441344</v>
      </c>
      <c r="I8" s="11"/>
      <c r="J8" s="11" t="n">
        <f aca="false">모델!$F$59</f>
        <v>3.21257472</v>
      </c>
      <c r="K8" s="11"/>
    </row>
    <row r="9" customFormat="false" ht="17.15" hidden="false" customHeight="false" outlineLevel="0" collapsed="false">
      <c r="A9" s="10" t="s">
        <v>8</v>
      </c>
      <c r="B9" s="11" t="n">
        <f aca="false">모델!$B$60</f>
        <v>7.504658432</v>
      </c>
      <c r="C9" s="11"/>
      <c r="D9" s="11" t="n">
        <f aca="false">모델!$C$60</f>
        <v>3.6071424</v>
      </c>
      <c r="E9" s="11"/>
      <c r="F9" s="11" t="n">
        <f aca="false">모델!$D$60</f>
        <v>2.94518784</v>
      </c>
      <c r="G9" s="11"/>
      <c r="H9" s="11" t="n">
        <f aca="false">모델!$E$60</f>
        <v>3.821830144</v>
      </c>
      <c r="I9" s="11"/>
      <c r="J9" s="11" t="n">
        <f aca="false">모델!$F$60</f>
        <v>3.21257472</v>
      </c>
      <c r="K9" s="11"/>
    </row>
    <row r="10" customFormat="false" ht="17.15" hidden="false" customHeight="false" outlineLevel="0" collapsed="false">
      <c r="A10" s="10" t="s">
        <v>9</v>
      </c>
      <c r="B10" s="11" t="n">
        <f aca="false">모델!$B$61</f>
        <v>4.140466176</v>
      </c>
      <c r="C10" s="11"/>
      <c r="D10" s="11" t="n">
        <f aca="false">모델!$C$61</f>
        <v>10.7816832</v>
      </c>
      <c r="E10" s="11"/>
      <c r="F10" s="11" t="n">
        <f aca="false">모델!$D$61</f>
        <v>17.88172288</v>
      </c>
      <c r="G10" s="11"/>
      <c r="H10" s="11" t="n">
        <f aca="false">모델!$E$61</f>
        <v>13.015884288</v>
      </c>
      <c r="I10" s="11"/>
      <c r="J10" s="11" t="n">
        <f aca="false">모델!$F$61</f>
        <v>1.65648384</v>
      </c>
      <c r="K10" s="11"/>
    </row>
    <row r="11" customFormat="false" ht="17.15" hidden="false" customHeight="false" outlineLevel="0" collapsed="false">
      <c r="A11" s="12" t="s">
        <v>10</v>
      </c>
      <c r="B11" s="13" t="n">
        <f aca="false">모델!$B$62</f>
        <v>512</v>
      </c>
      <c r="C11" s="13"/>
      <c r="D11" s="13" t="n">
        <f aca="false">모델!$C$62</f>
        <v>97.5</v>
      </c>
      <c r="E11" s="13"/>
      <c r="F11" s="13" t="n">
        <f aca="false">모델!$D$62</f>
        <v>140.703125</v>
      </c>
      <c r="G11" s="13"/>
      <c r="H11" s="13" t="n">
        <f aca="false">모델!$E$62</f>
        <v>180</v>
      </c>
      <c r="I11" s="13"/>
      <c r="J11" s="13" t="n">
        <f aca="false">모델!$F$62</f>
        <v>448</v>
      </c>
      <c r="K11" s="13"/>
    </row>
    <row r="12" customFormat="false" ht="17.15" hidden="false" customHeight="false" outlineLevel="0" collapsed="false">
      <c r="A12" s="12" t="s">
        <v>11</v>
      </c>
      <c r="B12" s="14" t="str">
        <f aca="false">계산_모델1!H211</f>
        <v>OK +8.1</v>
      </c>
      <c r="C12" s="14"/>
      <c r="D12" s="14" t="str">
        <f aca="false">계산_모델2!H211</f>
        <v>OK +2.4</v>
      </c>
      <c r="E12" s="14"/>
      <c r="F12" s="15" t="str">
        <f aca="false">계산_모델3!H211</f>
        <v>초과 -4.3</v>
      </c>
      <c r="G12" s="15"/>
      <c r="H12" s="14" t="str">
        <f aca="false">계산_모델4!H211</f>
        <v>OK +0.2</v>
      </c>
      <c r="I12" s="14"/>
      <c r="J12" s="14" t="str">
        <f aca="false">계산_모델5!H211</f>
        <v>OK +10.5</v>
      </c>
      <c r="K12" s="14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7.15" hidden="false" customHeight="false" outlineLevel="0" collapsed="false">
      <c r="A14" s="16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2"/>
      <c r="B15" s="17" t="str">
        <f aca="false">모델!B6</f>
        <v>Llama 3.1 8B Instruct</v>
      </c>
      <c r="C15" s="17"/>
      <c r="D15" s="17" t="str">
        <f aca="false">모델!C6</f>
        <v>gpt-oss-20b</v>
      </c>
      <c r="E15" s="17"/>
      <c r="F15" s="17" t="str">
        <f aca="false">모델!D6</f>
        <v>Qwen3.6-35B-A3B</v>
      </c>
      <c r="G15" s="17"/>
      <c r="H15" s="17" t="str">
        <f aca="false">모델!E6</f>
        <v>Gemma 4 26B-A4B</v>
      </c>
      <c r="I15" s="17"/>
      <c r="J15" s="17" t="str">
        <f aca="false">모델!F6</f>
        <v>Llama 3.2 3B Instruct</v>
      </c>
      <c r="K15" s="17"/>
    </row>
    <row r="16" customFormat="false" ht="30" hidden="false" customHeight="true" outlineLevel="0" collapsed="false">
      <c r="A16" s="18" t="s">
        <v>13</v>
      </c>
      <c r="B16" s="19" t="s">
        <v>14</v>
      </c>
      <c r="C16" s="19" t="s">
        <v>15</v>
      </c>
      <c r="D16" s="19" t="s">
        <v>14</v>
      </c>
      <c r="E16" s="19" t="s">
        <v>15</v>
      </c>
      <c r="F16" s="19" t="s">
        <v>14</v>
      </c>
      <c r="G16" s="19" t="s">
        <v>15</v>
      </c>
      <c r="H16" s="19" t="s">
        <v>14</v>
      </c>
      <c r="I16" s="19" t="s">
        <v>15</v>
      </c>
      <c r="J16" s="19" t="s">
        <v>14</v>
      </c>
      <c r="K16" s="19" t="s">
        <v>15</v>
      </c>
    </row>
    <row r="17" customFormat="false" ht="15" hidden="false" customHeight="false" outlineLevel="0" collapsed="false">
      <c r="A17" s="20" t="n">
        <f aca="false">설정!$B$54</f>
        <v>128</v>
      </c>
      <c r="B17" s="21" t="n">
        <f aca="false">계산_모델1!B111</f>
        <v>112.503976156863</v>
      </c>
      <c r="C17" s="21" t="n">
        <f aca="false">계산_모델1!B192</f>
        <v>11.9205643836852</v>
      </c>
      <c r="D17" s="21" t="n">
        <f aca="false">계산_모델2!B111</f>
        <v>235.490750625802</v>
      </c>
      <c r="E17" s="21" t="n">
        <f aca="false">계산_모델2!B192</f>
        <v>23.4190762127434</v>
      </c>
      <c r="F17" s="21" t="n">
        <f aca="false">계산_모델3!B111</f>
        <v>393.942581594098</v>
      </c>
      <c r="G17" s="21" t="n">
        <f aca="false">계산_모델3!B192</f>
        <v>25.0608109323989</v>
      </c>
      <c r="H17" s="21" t="n">
        <f aca="false">계산_모델4!B111</f>
        <v>296.324852768697</v>
      </c>
      <c r="I17" s="21" t="n">
        <f aca="false">계산_모델4!B192</f>
        <v>21.5775390154094</v>
      </c>
      <c r="J17" s="21" t="n">
        <f aca="false">계산_모델5!B111</f>
        <v>40.5595050666667</v>
      </c>
      <c r="K17" s="21" t="n">
        <f aca="false">계산_모델5!B192</f>
        <v>27.7130902327437</v>
      </c>
    </row>
    <row r="18" customFormat="false" ht="15" hidden="false" customHeight="false" outlineLevel="0" collapsed="false">
      <c r="A18" s="20" t="n">
        <f aca="false">설정!$C$54</f>
        <v>256</v>
      </c>
      <c r="B18" s="21" t="n">
        <f aca="false">계산_모델1!C111</f>
        <v>193.290284570102</v>
      </c>
      <c r="C18" s="21" t="n">
        <f aca="false">계산_모델1!C192</f>
        <v>11.894909481183</v>
      </c>
      <c r="D18" s="21" t="n">
        <f aca="false">계산_모델2!C111</f>
        <v>247.613170381804</v>
      </c>
      <c r="E18" s="21" t="n">
        <f aca="false">계산_모델2!C192</f>
        <v>23.4004849752163</v>
      </c>
      <c r="F18" s="21" t="n">
        <f aca="false">계산_모델3!C111</f>
        <v>426.254754698491</v>
      </c>
      <c r="G18" s="21" t="n">
        <f aca="false">계산_모델3!C192</f>
        <v>25.0430684208967</v>
      </c>
      <c r="H18" s="21" t="n">
        <f aca="false">계산_모델4!C111</f>
        <v>323.102940355646</v>
      </c>
      <c r="I18" s="21" t="n">
        <f aca="false">계산_모델4!C192</f>
        <v>21.4337172786434</v>
      </c>
      <c r="J18" s="21" t="n">
        <f aca="false">계산_모델5!C111</f>
        <v>72.6726344021333</v>
      </c>
      <c r="K18" s="21" t="n">
        <f aca="false">계산_모델5!C192</f>
        <v>27.5920334504744</v>
      </c>
    </row>
    <row r="19" customFormat="false" ht="15" hidden="false" customHeight="false" outlineLevel="0" collapsed="false">
      <c r="A19" s="20" t="n">
        <f aca="false">설정!$D$54</f>
        <v>512</v>
      </c>
      <c r="B19" s="21" t="n">
        <f aca="false">계산_모델1!D111</f>
        <v>359.837773595106</v>
      </c>
      <c r="C19" s="21" t="n">
        <f aca="false">계산_모델1!D192</f>
        <v>11.843929536322</v>
      </c>
      <c r="D19" s="21" t="n">
        <f aca="false">계산_모델2!D111</f>
        <v>273.750536668863</v>
      </c>
      <c r="E19" s="21" t="n">
        <f aca="false">계산_모델2!D192</f>
        <v>23.3633909117328</v>
      </c>
      <c r="F19" s="21" t="n">
        <f aca="false">계산_모델3!D111</f>
        <v>483.980488314186</v>
      </c>
      <c r="G19" s="21" t="n">
        <f aca="false">계산_모델3!D192</f>
        <v>25.0076586592094</v>
      </c>
      <c r="H19" s="21" t="n">
        <f aca="false">계산_모델4!D111</f>
        <v>380.552600706509</v>
      </c>
      <c r="I19" s="21" t="n">
        <f aca="false">계산_모델4!D192</f>
        <v>21.151749868042</v>
      </c>
      <c r="J19" s="21" t="n">
        <f aca="false">계산_모델5!D111</f>
        <v>139.202684450133</v>
      </c>
      <c r="K19" s="21" t="n">
        <f aca="false">계산_모델5!D192</f>
        <v>27.3530652204445</v>
      </c>
    </row>
    <row r="20" customFormat="false" ht="15" hidden="false" customHeight="false" outlineLevel="0" collapsed="false">
      <c r="A20" s="20" t="n">
        <f aca="false">설정!$E$54</f>
        <v>1024</v>
      </c>
      <c r="B20" s="21" t="n">
        <f aca="false">계산_모델1!E111</f>
        <v>698.306395240408</v>
      </c>
      <c r="C20" s="21" t="n">
        <f aca="false">계산_모델1!E192</f>
        <v>11.7432694630925</v>
      </c>
      <c r="D20" s="21" t="n">
        <f aca="false">계산_모델2!E111</f>
        <v>328.362202046745</v>
      </c>
      <c r="E20" s="21" t="n">
        <f aca="false">계산_모델2!E192</f>
        <v>23.2895544751703</v>
      </c>
      <c r="F20" s="21" t="n">
        <f aca="false">계산_모델3!E111</f>
        <v>601.459181206586</v>
      </c>
      <c r="G20" s="21" t="n">
        <f aca="false">계산_모델3!E192</f>
        <v>24.9371386954789</v>
      </c>
      <c r="H20" s="21" t="n">
        <f aca="false">계산_모델4!E111</f>
        <v>500.410860393412</v>
      </c>
      <c r="I20" s="21" t="n">
        <f aca="false">계산_모델4!E192</f>
        <v>20.7302835274927</v>
      </c>
      <c r="J20" s="21" t="n">
        <f aca="false">계산_모델5!E111</f>
        <v>277.230532595953</v>
      </c>
      <c r="K20" s="21" t="n">
        <f aca="false">계산_모델5!E192</f>
        <v>26.887335217708</v>
      </c>
    </row>
    <row r="21" customFormat="false" ht="15" hidden="false" customHeight="false" outlineLevel="0" collapsed="false">
      <c r="A21" s="20" t="n">
        <f aca="false">설정!$F$54</f>
        <v>2048</v>
      </c>
      <c r="B21" s="21" t="n">
        <f aca="false">계산_모델1!F111</f>
        <v>1415.96463927617</v>
      </c>
      <c r="C21" s="21" t="n">
        <f aca="false">계산_모델1!F192</f>
        <v>11.5469965098141</v>
      </c>
      <c r="D21" s="21" t="n">
        <f aca="false">계산_모델2!F111</f>
        <v>607.39417157371</v>
      </c>
      <c r="E21" s="21" t="n">
        <f aca="false">계산_모델2!F192</f>
        <v>23.1432729009027</v>
      </c>
      <c r="F21" s="21" t="n">
        <f aca="false">계산_모델3!F111</f>
        <v>842.385184165647</v>
      </c>
      <c r="G21" s="21" t="n">
        <f aca="false">계산_모델3!F192</f>
        <v>24.7972852465789</v>
      </c>
      <c r="H21" s="21" t="n">
        <f aca="false">계산_모델4!F111</f>
        <v>753.087902489098</v>
      </c>
      <c r="I21" s="21" t="n">
        <f aca="false">계산_모델4!F192</f>
        <v>20.6335445474226</v>
      </c>
      <c r="J21" s="21" t="n">
        <f aca="false">계산_모델5!F111</f>
        <v>566.612028199153</v>
      </c>
      <c r="K21" s="21" t="n">
        <f aca="false">계산_모델5!F192</f>
        <v>26.0018871782235</v>
      </c>
    </row>
    <row r="22" customFormat="false" ht="15" hidden="false" customHeight="false" outlineLevel="0" collapsed="false">
      <c r="A22" s="20" t="n">
        <f aca="false">설정!$G$54</f>
        <v>4096</v>
      </c>
      <c r="B22" s="21" t="n">
        <f aca="false">계산_모델1!G111</f>
        <v>2905.97504888671</v>
      </c>
      <c r="C22" s="21" t="n">
        <f aca="false">계산_모델1!G192</f>
        <v>11.1734965780097</v>
      </c>
      <c r="D22" s="21" t="n">
        <f aca="false">계산_모델2!G111</f>
        <v>1243.69047392477</v>
      </c>
      <c r="E22" s="21" t="n">
        <f aca="false">계산_모델2!G192</f>
        <v>22.8561541232198</v>
      </c>
      <c r="F22" s="21" t="n">
        <f aca="false">계산_모델3!G111</f>
        <v>1347.85951021177</v>
      </c>
      <c r="G22" s="21" t="n">
        <f aca="false">계산_모델3!G192</f>
        <v>24.5222321395386</v>
      </c>
      <c r="H22" s="21" t="n">
        <f aca="false">계산_모델4!G111</f>
        <v>1340.10525518306</v>
      </c>
      <c r="I22" s="21" t="n">
        <f aca="false">계산_모델4!G192</f>
        <v>20.4427501669831</v>
      </c>
      <c r="J22" s="21" t="n">
        <f aca="false">계산_모델5!G111</f>
        <v>1194.98189167435</v>
      </c>
      <c r="K22" s="21" t="n">
        <f aca="false">계산_모델5!G192</f>
        <v>24.3951362390945</v>
      </c>
    </row>
    <row r="23" customFormat="false" ht="15" hidden="false" customHeight="false" outlineLevel="0" collapsed="false">
      <c r="A23" s="20" t="n">
        <f aca="false">설정!$H$54</f>
        <v>8192</v>
      </c>
      <c r="B23" s="21" t="n">
        <f aca="false">계산_모델1!H111</f>
        <v>6209.25906861679</v>
      </c>
      <c r="C23" s="21" t="n">
        <f aca="false">계산_모델1!H192</f>
        <v>10.4945797989345</v>
      </c>
      <c r="D23" s="21" t="n">
        <f aca="false">계산_모델2!H111</f>
        <v>2629.67021524129</v>
      </c>
      <c r="E23" s="21" t="n">
        <f aca="false">계산_모델2!H192</f>
        <v>22.3027713348793</v>
      </c>
      <c r="F23" s="21" t="n">
        <f aca="false">계산_모델3!H111</f>
        <v>2453.297442816</v>
      </c>
      <c r="G23" s="21" t="n">
        <f aca="false">계산_모델3!H192</f>
        <v>23.9900340905196</v>
      </c>
      <c r="H23" s="21" t="n">
        <f aca="false">계산_모델4!H111</f>
        <v>2804.57691576722</v>
      </c>
      <c r="I23" s="21" t="n">
        <f aca="false">계산_모델4!H192</f>
        <v>20.0715546294275</v>
      </c>
      <c r="J23" s="21" t="n">
        <f aca="false">계산_모델5!H111</f>
        <v>2650.14910769995</v>
      </c>
      <c r="K23" s="21" t="n">
        <f aca="false">계산_모델5!H192</f>
        <v>21.711830671158</v>
      </c>
    </row>
    <row r="24" customFormat="false" ht="17.15" hidden="false" customHeight="false" outlineLevel="0" collapsed="false">
      <c r="A24" s="22" t="s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7.15" hidden="false" customHeight="false" outlineLevel="0" collapsed="false">
      <c r="A26" s="16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17" t="str">
        <f aca="false">모델!B6</f>
        <v>Llama 3.1 8B Instruct</v>
      </c>
      <c r="C27" s="17"/>
      <c r="D27" s="17" t="str">
        <f aca="false">모델!C6</f>
        <v>gpt-oss-20b</v>
      </c>
      <c r="E27" s="17"/>
      <c r="F27" s="17" t="str">
        <f aca="false">모델!D6</f>
        <v>Qwen3.6-35B-A3B</v>
      </c>
      <c r="G27" s="17"/>
      <c r="H27" s="17" t="str">
        <f aca="false">모델!E6</f>
        <v>Gemma 4 26B-A4B</v>
      </c>
      <c r="I27" s="17"/>
      <c r="J27" s="17" t="str">
        <f aca="false">모델!F6</f>
        <v>Llama 3.2 3B Instruct</v>
      </c>
      <c r="K27" s="17"/>
    </row>
    <row r="28" customFormat="false" ht="30" hidden="false" customHeight="true" outlineLevel="0" collapsed="false">
      <c r="A28" s="18" t="s">
        <v>13</v>
      </c>
      <c r="B28" s="19" t="s">
        <v>18</v>
      </c>
      <c r="C28" s="18" t="s">
        <v>19</v>
      </c>
      <c r="D28" s="19" t="s">
        <v>18</v>
      </c>
      <c r="E28" s="18" t="s">
        <v>19</v>
      </c>
      <c r="F28" s="19" t="s">
        <v>18</v>
      </c>
      <c r="G28" s="18" t="s">
        <v>19</v>
      </c>
      <c r="H28" s="19" t="s">
        <v>18</v>
      </c>
      <c r="I28" s="18" t="s">
        <v>19</v>
      </c>
      <c r="J28" s="19" t="s">
        <v>18</v>
      </c>
      <c r="K28" s="18" t="s">
        <v>19</v>
      </c>
    </row>
    <row r="29" customFormat="false" ht="15" hidden="false" customHeight="false" outlineLevel="0" collapsed="false">
      <c r="A29" s="20" t="n">
        <f aca="false">설정!$B$54</f>
        <v>128</v>
      </c>
      <c r="B29" s="23" t="n">
        <f aca="false">계산_모델1!B104</f>
        <v>0</v>
      </c>
      <c r="C29" s="23" t="n">
        <f aca="false">계산_모델1!B187</f>
        <v>0</v>
      </c>
      <c r="D29" s="23" t="n">
        <f aca="false">계산_모델2!B104</f>
        <v>2.6236416</v>
      </c>
      <c r="E29" s="23" t="n">
        <f aca="false">계산_모델2!B187</f>
        <v>2.4017472</v>
      </c>
      <c r="F29" s="23" t="n">
        <f aca="false">계산_모델3!B104</f>
        <v>6.90816</v>
      </c>
      <c r="G29" s="23" t="n">
        <f aca="false">계산_모델3!B187</f>
        <v>4.02272</v>
      </c>
      <c r="H29" s="23" t="n">
        <f aca="false">계산_모델4!B104</f>
        <v>4.099776</v>
      </c>
      <c r="I29" s="23" t="n">
        <f aca="false">계산_모델4!B187</f>
        <v>3.008592</v>
      </c>
      <c r="J29" s="23" t="n">
        <f aca="false">계산_모델5!B104</f>
        <v>0</v>
      </c>
      <c r="K29" s="23" t="n">
        <f aca="false">계산_모델5!B187</f>
        <v>0</v>
      </c>
    </row>
    <row r="30" customFormat="false" ht="15" hidden="false" customHeight="false" outlineLevel="0" collapsed="false">
      <c r="A30" s="20" t="n">
        <f aca="false">설정!$C$54</f>
        <v>256</v>
      </c>
      <c r="B30" s="23" t="n">
        <f aca="false">계산_모델1!C104</f>
        <v>0</v>
      </c>
      <c r="C30" s="23" t="n">
        <f aca="false">계산_모델1!C187</f>
        <v>0</v>
      </c>
      <c r="D30" s="23" t="n">
        <f aca="false">계산_모델2!C104</f>
        <v>2.8472832</v>
      </c>
      <c r="E30" s="23" t="n">
        <f aca="false">계산_모델2!C187</f>
        <v>2.4017472</v>
      </c>
      <c r="F30" s="23" t="n">
        <f aca="false">계산_모델3!C104</f>
        <v>9.81632</v>
      </c>
      <c r="G30" s="23" t="n">
        <f aca="false">계산_모델3!C187</f>
        <v>4.02272</v>
      </c>
      <c r="H30" s="23" t="n">
        <f aca="false">계산_모델4!C104</f>
        <v>5.199552</v>
      </c>
      <c r="I30" s="23" t="n">
        <f aca="false">계산_모델4!C187</f>
        <v>3.008592</v>
      </c>
      <c r="J30" s="23" t="n">
        <f aca="false">계산_모델5!C104</f>
        <v>0</v>
      </c>
      <c r="K30" s="23" t="n">
        <f aca="false">계산_모델5!C187</f>
        <v>0</v>
      </c>
    </row>
    <row r="31" customFormat="false" ht="15" hidden="false" customHeight="false" outlineLevel="0" collapsed="false">
      <c r="A31" s="20" t="n">
        <f aca="false">설정!$D$54</f>
        <v>512</v>
      </c>
      <c r="B31" s="23" t="n">
        <f aca="false">계산_모델1!D104</f>
        <v>0</v>
      </c>
      <c r="C31" s="23" t="n">
        <f aca="false">계산_모델1!D187</f>
        <v>0</v>
      </c>
      <c r="D31" s="23" t="n">
        <f aca="false">계산_모델2!D104</f>
        <v>3.2945664</v>
      </c>
      <c r="E31" s="23" t="n">
        <f aca="false">계산_모델2!D187</f>
        <v>2.4017472</v>
      </c>
      <c r="F31" s="23" t="n">
        <f aca="false">계산_모델3!D104</f>
        <v>15.63264</v>
      </c>
      <c r="G31" s="23" t="n">
        <f aca="false">계산_모델3!D187</f>
        <v>4.02272</v>
      </c>
      <c r="H31" s="23" t="n">
        <f aca="false">계산_모델4!D104</f>
        <v>7.399104</v>
      </c>
      <c r="I31" s="23" t="n">
        <f aca="false">계산_모델4!D187</f>
        <v>3.008592</v>
      </c>
      <c r="J31" s="23" t="n">
        <f aca="false">계산_모델5!D104</f>
        <v>0</v>
      </c>
      <c r="K31" s="23" t="n">
        <f aca="false">계산_모델5!D187</f>
        <v>0</v>
      </c>
    </row>
    <row r="32" customFormat="false" ht="15" hidden="false" customHeight="false" outlineLevel="0" collapsed="false">
      <c r="A32" s="20" t="n">
        <f aca="false">설정!$E$54</f>
        <v>1024</v>
      </c>
      <c r="B32" s="23" t="n">
        <f aca="false">계산_모델1!E104</f>
        <v>0</v>
      </c>
      <c r="C32" s="23" t="n">
        <f aca="false">계산_모델1!E187</f>
        <v>0</v>
      </c>
      <c r="D32" s="23" t="n">
        <f aca="false">계산_모델2!E104</f>
        <v>4.1891328</v>
      </c>
      <c r="E32" s="23" t="n">
        <f aca="false">계산_모델2!E187</f>
        <v>2.4017472</v>
      </c>
      <c r="F32" s="23" t="n">
        <f aca="false">계산_모델3!E104</f>
        <v>27.26528</v>
      </c>
      <c r="G32" s="23" t="n">
        <f aca="false">계산_모델3!E187</f>
        <v>4.02272</v>
      </c>
      <c r="H32" s="23" t="n">
        <f aca="false">계산_모델4!E104</f>
        <v>11.798208</v>
      </c>
      <c r="I32" s="23" t="n">
        <f aca="false">계산_모델4!E187</f>
        <v>3.008592</v>
      </c>
      <c r="J32" s="23" t="n">
        <f aca="false">계산_모델5!E104</f>
        <v>0</v>
      </c>
      <c r="K32" s="23" t="n">
        <f aca="false">계산_모델5!E187</f>
        <v>0</v>
      </c>
    </row>
    <row r="33" customFormat="false" ht="15" hidden="false" customHeight="false" outlineLevel="0" collapsed="false">
      <c r="A33" s="20" t="n">
        <f aca="false">설정!$F$54</f>
        <v>2048</v>
      </c>
      <c r="B33" s="23" t="n">
        <f aca="false">계산_모델1!F104</f>
        <v>0</v>
      </c>
      <c r="C33" s="23" t="n">
        <f aca="false">계산_모델1!F187</f>
        <v>0</v>
      </c>
      <c r="D33" s="23" t="n">
        <f aca="false">계산_모델2!F104</f>
        <v>5.9782656</v>
      </c>
      <c r="E33" s="23" t="n">
        <f aca="false">계산_모델2!F187</f>
        <v>2.4017472</v>
      </c>
      <c r="F33" s="23" t="n">
        <f aca="false">계산_모델3!F104</f>
        <v>50.53056</v>
      </c>
      <c r="G33" s="23" t="n">
        <f aca="false">계산_모델3!F187</f>
        <v>4.02272</v>
      </c>
      <c r="H33" s="23" t="n">
        <f aca="false">계산_모델4!F104</f>
        <v>20.596416</v>
      </c>
      <c r="I33" s="23" t="n">
        <f aca="false">계산_모델4!F187</f>
        <v>3.008592</v>
      </c>
      <c r="J33" s="23" t="n">
        <f aca="false">계산_모델5!F104</f>
        <v>0</v>
      </c>
      <c r="K33" s="23" t="n">
        <f aca="false">계산_모델5!F187</f>
        <v>0</v>
      </c>
    </row>
    <row r="34" customFormat="false" ht="15" hidden="false" customHeight="false" outlineLevel="0" collapsed="false">
      <c r="A34" s="20" t="n">
        <f aca="false">설정!$G$54</f>
        <v>4096</v>
      </c>
      <c r="B34" s="23" t="n">
        <f aca="false">계산_모델1!G104</f>
        <v>0</v>
      </c>
      <c r="C34" s="23" t="n">
        <f aca="false">계산_모델1!G187</f>
        <v>0</v>
      </c>
      <c r="D34" s="23" t="n">
        <f aca="false">계산_모델2!G104</f>
        <v>9.5565312</v>
      </c>
      <c r="E34" s="23" t="n">
        <f aca="false">계산_모델2!G187</f>
        <v>2.4017472</v>
      </c>
      <c r="F34" s="23" t="n">
        <f aca="false">계산_모델3!G104</f>
        <v>97.06112</v>
      </c>
      <c r="G34" s="23" t="n">
        <f aca="false">계산_모델3!G187</f>
        <v>4.02272</v>
      </c>
      <c r="H34" s="23" t="n">
        <f aca="false">계산_모델4!G104</f>
        <v>38.192832</v>
      </c>
      <c r="I34" s="23" t="n">
        <f aca="false">계산_모델4!G187</f>
        <v>3.008592</v>
      </c>
      <c r="J34" s="23" t="n">
        <f aca="false">계산_모델5!G104</f>
        <v>0</v>
      </c>
      <c r="K34" s="23" t="n">
        <f aca="false">계산_모델5!G187</f>
        <v>0</v>
      </c>
    </row>
    <row r="35" customFormat="false" ht="15" hidden="false" customHeight="false" outlineLevel="0" collapsed="false">
      <c r="A35" s="20" t="n">
        <f aca="false">설정!$H$54</f>
        <v>8192</v>
      </c>
      <c r="B35" s="23" t="n">
        <f aca="false">계산_모델1!H104</f>
        <v>0</v>
      </c>
      <c r="C35" s="23" t="n">
        <f aca="false">계산_모델1!H187</f>
        <v>0</v>
      </c>
      <c r="D35" s="23" t="n">
        <f aca="false">계산_모델2!H104</f>
        <v>16.7130624</v>
      </c>
      <c r="E35" s="23" t="n">
        <f aca="false">계산_모델2!H187</f>
        <v>2.4017472</v>
      </c>
      <c r="F35" s="23" t="n">
        <f aca="false">계산_모델3!H104</f>
        <v>190.12224</v>
      </c>
      <c r="G35" s="23" t="n">
        <f aca="false">계산_모델3!H187</f>
        <v>4.02272</v>
      </c>
      <c r="H35" s="23" t="n">
        <f aca="false">계산_모델4!H104</f>
        <v>73.385664</v>
      </c>
      <c r="I35" s="23" t="n">
        <f aca="false">계산_모델4!H187</f>
        <v>3.008592</v>
      </c>
      <c r="J35" s="23" t="n">
        <f aca="false">계산_모델5!H104</f>
        <v>0</v>
      </c>
      <c r="K35" s="23" t="n">
        <f aca="false">계산_모델5!H187</f>
        <v>0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7.15" hidden="false" customHeight="false" outlineLevel="0" collapsed="false">
      <c r="A37" s="16" t="s">
        <v>20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17" t="str">
        <f aca="false">모델!B6</f>
        <v>Llama 3.1 8B Instruct</v>
      </c>
      <c r="C38" s="17"/>
      <c r="D38" s="17" t="str">
        <f aca="false">모델!C6</f>
        <v>gpt-oss-20b</v>
      </c>
      <c r="E38" s="17"/>
      <c r="F38" s="17" t="str">
        <f aca="false">모델!D6</f>
        <v>Qwen3.6-35B-A3B</v>
      </c>
      <c r="G38" s="17"/>
      <c r="H38" s="17" t="str">
        <f aca="false">모델!E6</f>
        <v>Gemma 4 26B-A4B</v>
      </c>
      <c r="I38" s="17"/>
      <c r="J38" s="17" t="str">
        <f aca="false">모델!F6</f>
        <v>Llama 3.2 3B Instruct</v>
      </c>
      <c r="K38" s="17"/>
    </row>
    <row r="39" customFormat="false" ht="30" hidden="false" customHeight="true" outlineLevel="0" collapsed="false">
      <c r="A39" s="18" t="s">
        <v>13</v>
      </c>
      <c r="B39" s="18" t="s">
        <v>21</v>
      </c>
      <c r="C39" s="18" t="s">
        <v>19</v>
      </c>
      <c r="D39" s="18" t="s">
        <v>21</v>
      </c>
      <c r="E39" s="18" t="s">
        <v>19</v>
      </c>
      <c r="F39" s="18" t="s">
        <v>21</v>
      </c>
      <c r="G39" s="18" t="s">
        <v>19</v>
      </c>
      <c r="H39" s="18" t="s">
        <v>21</v>
      </c>
      <c r="I39" s="18" t="s">
        <v>19</v>
      </c>
      <c r="J39" s="18" t="s">
        <v>21</v>
      </c>
      <c r="K39" s="18" t="s">
        <v>19</v>
      </c>
    </row>
    <row r="40" customFormat="false" ht="15" hidden="false" customHeight="false" outlineLevel="0" collapsed="false">
      <c r="A40" s="20" t="n">
        <f aca="false">설정!$B$54</f>
        <v>128</v>
      </c>
      <c r="B40" s="23" t="n">
        <f aca="false">계산_모델1!B103</f>
        <v>0</v>
      </c>
      <c r="C40" s="24" t="n">
        <f aca="false">계산_모델1!B186</f>
        <v>0</v>
      </c>
      <c r="D40" s="23" t="n">
        <f aca="false">계산_모델2!B103</f>
        <v>0</v>
      </c>
      <c r="E40" s="24" t="n">
        <f aca="false">계산_모델2!B186</f>
        <v>0</v>
      </c>
      <c r="F40" s="23" t="n">
        <f aca="false">계산_모델3!B103</f>
        <v>2.16365176470588</v>
      </c>
      <c r="G40" s="24" t="n">
        <f aca="false">계산_모델3!B186</f>
        <v>2.50341647058824</v>
      </c>
      <c r="H40" s="23" t="n">
        <f aca="false">계산_모델4!B103</f>
        <v>0</v>
      </c>
      <c r="I40" s="24" t="n">
        <f aca="false">계산_모델4!B186</f>
        <v>0</v>
      </c>
      <c r="J40" s="23" t="n">
        <f aca="false">계산_모델5!B103</f>
        <v>0</v>
      </c>
      <c r="K40" s="24" t="n">
        <f aca="false">계산_모델5!B186</f>
        <v>0</v>
      </c>
    </row>
    <row r="41" customFormat="false" ht="15" hidden="false" customHeight="false" outlineLevel="0" collapsed="false">
      <c r="A41" s="20" t="n">
        <f aca="false">설정!$C$54</f>
        <v>256</v>
      </c>
      <c r="B41" s="23" t="n">
        <f aca="false">계산_모델1!C103</f>
        <v>0</v>
      </c>
      <c r="C41" s="24" t="n">
        <f aca="false">계산_모델1!C186</f>
        <v>0</v>
      </c>
      <c r="D41" s="23" t="n">
        <f aca="false">계산_모델2!C103</f>
        <v>0</v>
      </c>
      <c r="E41" s="24" t="n">
        <f aca="false">계산_모델2!C186</f>
        <v>0</v>
      </c>
      <c r="F41" s="23" t="n">
        <f aca="false">계산_모델3!C103</f>
        <v>3.69098752</v>
      </c>
      <c r="G41" s="24" t="n">
        <f aca="false">계산_모델3!C186</f>
        <v>2.50341647058824</v>
      </c>
      <c r="H41" s="23" t="n">
        <f aca="false">계산_모델4!C103</f>
        <v>0</v>
      </c>
      <c r="I41" s="24" t="n">
        <f aca="false">계산_모델4!C186</f>
        <v>0</v>
      </c>
      <c r="J41" s="23" t="n">
        <f aca="false">계산_모델5!C103</f>
        <v>0</v>
      </c>
      <c r="K41" s="24" t="n">
        <f aca="false">계산_모델5!C186</f>
        <v>0</v>
      </c>
    </row>
    <row r="42" customFormat="false" ht="15" hidden="false" customHeight="false" outlineLevel="0" collapsed="false">
      <c r="A42" s="20" t="n">
        <f aca="false">설정!$D$54</f>
        <v>512</v>
      </c>
      <c r="B42" s="23" t="n">
        <f aca="false">계산_모델1!D103</f>
        <v>0</v>
      </c>
      <c r="C42" s="24" t="n">
        <f aca="false">계산_모델1!D186</f>
        <v>0</v>
      </c>
      <c r="D42" s="23" t="n">
        <f aca="false">계산_모델2!D103</f>
        <v>0</v>
      </c>
      <c r="E42" s="24" t="n">
        <f aca="false">계산_모델2!D186</f>
        <v>0</v>
      </c>
      <c r="F42" s="23" t="n">
        <f aca="false">계산_모델3!D103</f>
        <v>7.38197504</v>
      </c>
      <c r="G42" s="24" t="n">
        <f aca="false">계산_모델3!D186</f>
        <v>2.50341647058824</v>
      </c>
      <c r="H42" s="23" t="n">
        <f aca="false">계산_모델4!D103</f>
        <v>0</v>
      </c>
      <c r="I42" s="24" t="n">
        <f aca="false">계산_모델4!D186</f>
        <v>0</v>
      </c>
      <c r="J42" s="23" t="n">
        <f aca="false">계산_모델5!D103</f>
        <v>0</v>
      </c>
      <c r="K42" s="24" t="n">
        <f aca="false">계산_모델5!D186</f>
        <v>0</v>
      </c>
    </row>
    <row r="43" customFormat="false" ht="15" hidden="false" customHeight="false" outlineLevel="0" collapsed="false">
      <c r="A43" s="20" t="n">
        <f aca="false">설정!$E$54</f>
        <v>1024</v>
      </c>
      <c r="B43" s="23" t="n">
        <f aca="false">계산_모델1!E103</f>
        <v>0</v>
      </c>
      <c r="C43" s="24" t="n">
        <f aca="false">계산_모델1!E186</f>
        <v>0</v>
      </c>
      <c r="D43" s="23" t="n">
        <f aca="false">계산_모델2!E103</f>
        <v>0</v>
      </c>
      <c r="E43" s="24" t="n">
        <f aca="false">계산_모델2!E186</f>
        <v>0</v>
      </c>
      <c r="F43" s="23" t="n">
        <f aca="false">계산_모델3!E103</f>
        <v>14.76395008</v>
      </c>
      <c r="G43" s="24" t="n">
        <f aca="false">계산_모델3!E186</f>
        <v>2.50341647058824</v>
      </c>
      <c r="H43" s="23" t="n">
        <f aca="false">계산_모델4!E103</f>
        <v>0</v>
      </c>
      <c r="I43" s="24" t="n">
        <f aca="false">계산_모델4!E186</f>
        <v>0</v>
      </c>
      <c r="J43" s="23" t="n">
        <f aca="false">계산_모델5!E103</f>
        <v>0</v>
      </c>
      <c r="K43" s="24" t="n">
        <f aca="false">계산_모델5!E186</f>
        <v>0</v>
      </c>
    </row>
    <row r="44" customFormat="false" ht="15" hidden="false" customHeight="false" outlineLevel="0" collapsed="false">
      <c r="A44" s="20" t="n">
        <f aca="false">설정!$F$54</f>
        <v>2048</v>
      </c>
      <c r="B44" s="23" t="n">
        <f aca="false">계산_모델1!F103</f>
        <v>0</v>
      </c>
      <c r="C44" s="24" t="n">
        <f aca="false">계산_모델1!F186</f>
        <v>0</v>
      </c>
      <c r="D44" s="23" t="n">
        <f aca="false">계산_모델2!F103</f>
        <v>0</v>
      </c>
      <c r="E44" s="24" t="n">
        <f aca="false">계산_모델2!F186</f>
        <v>0</v>
      </c>
      <c r="F44" s="23" t="n">
        <f aca="false">계산_모델3!F103</f>
        <v>29.52790016</v>
      </c>
      <c r="G44" s="24" t="n">
        <f aca="false">계산_모델3!F186</f>
        <v>2.50341647058824</v>
      </c>
      <c r="H44" s="23" t="n">
        <f aca="false">계산_모델4!F103</f>
        <v>0</v>
      </c>
      <c r="I44" s="24" t="n">
        <f aca="false">계산_모델4!F186</f>
        <v>0</v>
      </c>
      <c r="J44" s="23" t="n">
        <f aca="false">계산_모델5!F103</f>
        <v>0</v>
      </c>
      <c r="K44" s="24" t="n">
        <f aca="false">계산_모델5!F186</f>
        <v>0</v>
      </c>
    </row>
    <row r="45" customFormat="false" ht="15" hidden="false" customHeight="false" outlineLevel="0" collapsed="false">
      <c r="A45" s="20" t="n">
        <f aca="false">설정!$G$54</f>
        <v>4096</v>
      </c>
      <c r="B45" s="23" t="n">
        <f aca="false">계산_모델1!G103</f>
        <v>0</v>
      </c>
      <c r="C45" s="24" t="n">
        <f aca="false">계산_모델1!G186</f>
        <v>0</v>
      </c>
      <c r="D45" s="23" t="n">
        <f aca="false">계산_모델2!G103</f>
        <v>0</v>
      </c>
      <c r="E45" s="24" t="n">
        <f aca="false">계산_모델2!G186</f>
        <v>0</v>
      </c>
      <c r="F45" s="23" t="n">
        <f aca="false">계산_모델3!G103</f>
        <v>59.05580032</v>
      </c>
      <c r="G45" s="24" t="n">
        <f aca="false">계산_모델3!G186</f>
        <v>2.50341647058824</v>
      </c>
      <c r="H45" s="23" t="n">
        <f aca="false">계산_모델4!G103</f>
        <v>0</v>
      </c>
      <c r="I45" s="24" t="n">
        <f aca="false">계산_모델4!G186</f>
        <v>0</v>
      </c>
      <c r="J45" s="23" t="n">
        <f aca="false">계산_모델5!G103</f>
        <v>0</v>
      </c>
      <c r="K45" s="24" t="n">
        <f aca="false">계산_모델5!G186</f>
        <v>0</v>
      </c>
    </row>
    <row r="46" customFormat="false" ht="15" hidden="false" customHeight="false" outlineLevel="0" collapsed="false">
      <c r="A46" s="20" t="n">
        <f aca="false">설정!$H$54</f>
        <v>8192</v>
      </c>
      <c r="B46" s="23" t="n">
        <f aca="false">계산_모델1!H103</f>
        <v>0</v>
      </c>
      <c r="C46" s="24" t="n">
        <f aca="false">계산_모델1!H186</f>
        <v>0</v>
      </c>
      <c r="D46" s="23" t="n">
        <f aca="false">계산_모델2!H103</f>
        <v>0</v>
      </c>
      <c r="E46" s="24" t="n">
        <f aca="false">계산_모델2!H186</f>
        <v>0</v>
      </c>
      <c r="F46" s="23" t="n">
        <f aca="false">계산_모델3!H103</f>
        <v>118.11160064</v>
      </c>
      <c r="G46" s="24" t="n">
        <f aca="false">계산_모델3!H186</f>
        <v>2.50341647058824</v>
      </c>
      <c r="H46" s="23" t="n">
        <f aca="false">계산_모델4!H103</f>
        <v>0</v>
      </c>
      <c r="I46" s="24" t="n">
        <f aca="false">계산_모델4!H186</f>
        <v>0</v>
      </c>
      <c r="J46" s="23" t="n">
        <f aca="false">계산_모델5!H103</f>
        <v>0</v>
      </c>
      <c r="K46" s="24" t="n">
        <f aca="false">계산_모델5!H186</f>
        <v>0</v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7.15" hidden="false" customHeight="false" outlineLevel="0" collapsed="false">
      <c r="A48" s="7" t="s">
        <v>22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17" t="str">
        <f aca="false">모델!B6</f>
        <v>Llama 3.1 8B Instruct</v>
      </c>
      <c r="C49" s="17"/>
      <c r="D49" s="17" t="str">
        <f aca="false">모델!C6</f>
        <v>gpt-oss-20b</v>
      </c>
      <c r="E49" s="17"/>
      <c r="F49" s="17" t="str">
        <f aca="false">모델!D6</f>
        <v>Qwen3.6-35B-A3B</v>
      </c>
      <c r="G49" s="17"/>
      <c r="H49" s="17" t="str">
        <f aca="false">모델!E6</f>
        <v>Gemma 4 26B-A4B</v>
      </c>
      <c r="I49" s="17"/>
      <c r="J49" s="17" t="str">
        <f aca="false">모델!F6</f>
        <v>Llama 3.2 3B Instruct</v>
      </c>
      <c r="K49" s="17"/>
    </row>
    <row r="50" customFormat="false" ht="30" hidden="false" customHeight="true" outlineLevel="0" collapsed="false">
      <c r="A50" s="18" t="s">
        <v>13</v>
      </c>
      <c r="B50" s="18" t="s">
        <v>23</v>
      </c>
      <c r="C50" s="18" t="s">
        <v>24</v>
      </c>
      <c r="D50" s="18" t="s">
        <v>23</v>
      </c>
      <c r="E50" s="18" t="s">
        <v>24</v>
      </c>
      <c r="F50" s="18" t="s">
        <v>23</v>
      </c>
      <c r="G50" s="18" t="s">
        <v>24</v>
      </c>
      <c r="H50" s="18" t="s">
        <v>23</v>
      </c>
      <c r="I50" s="18" t="s">
        <v>24</v>
      </c>
      <c r="J50" s="18" t="s">
        <v>23</v>
      </c>
      <c r="K50" s="18" t="s">
        <v>24</v>
      </c>
    </row>
    <row r="51" customFormat="false" ht="15" hidden="false" customHeight="false" outlineLevel="0" collapsed="false">
      <c r="A51" s="20" t="n">
        <f aca="false">설정!$B$54</f>
        <v>128</v>
      </c>
      <c r="B51" s="25" t="n">
        <f aca="false">계산_모델1!B201</f>
        <v>21.5041085841569</v>
      </c>
      <c r="C51" s="23" t="n">
        <f aca="false">계산_모델1!B210</f>
        <v>4.37954711914063</v>
      </c>
      <c r="D51" s="25" t="n">
        <f aca="false">계산_모델2!B201</f>
        <v>11.1240500466258</v>
      </c>
      <c r="E51" s="23" t="n">
        <f aca="false">계산_모델2!B210</f>
        <v>10.5470843315125</v>
      </c>
      <c r="F51" s="25" t="n">
        <f aca="false">계산_모델3!B201</f>
        <v>10.5691919255941</v>
      </c>
      <c r="G51" s="23" t="n">
        <f aca="false">계산_모델3!B210</f>
        <v>17.2165946960449</v>
      </c>
      <c r="H51" s="25" t="n">
        <f aca="false">계산_모델4!B201</f>
        <v>12.1141693167687</v>
      </c>
      <c r="I51" s="23" t="n">
        <f aca="false">계산_모델4!B210</f>
        <v>12.6622700691223</v>
      </c>
      <c r="J51" s="25" t="n">
        <f aca="false">계산_모델5!B201</f>
        <v>9.24198734506667</v>
      </c>
      <c r="K51" s="23" t="n">
        <f aca="false">계산_모델5!B210</f>
        <v>2.06322860717773</v>
      </c>
    </row>
    <row r="52" customFormat="false" ht="15" hidden="false" customHeight="false" outlineLevel="0" collapsed="false">
      <c r="A52" s="20" t="n">
        <f aca="false">설정!$C$54</f>
        <v>256</v>
      </c>
      <c r="B52" s="25" t="n">
        <f aca="false">계산_모델1!C201</f>
        <v>21.6310322365701</v>
      </c>
      <c r="C52" s="23" t="n">
        <f aca="false">계산_모델1!C210</f>
        <v>4.38735961914063</v>
      </c>
      <c r="D52" s="25" t="n">
        <f aca="false">계산_모델2!C201</f>
        <v>11.1448232183818</v>
      </c>
      <c r="E52" s="23" t="n">
        <f aca="false">계산_모델2!C210</f>
        <v>10.5485491752625</v>
      </c>
      <c r="F52" s="25" t="n">
        <f aca="false">계산_모델3!C201</f>
        <v>10.6087130586985</v>
      </c>
      <c r="G52" s="23" t="n">
        <f aca="false">계산_모델3!C210</f>
        <v>17.2178153991699</v>
      </c>
      <c r="H52" s="25" t="n">
        <f aca="false">계산_모델4!C201</f>
        <v>12.2202459643556</v>
      </c>
      <c r="I52" s="23" t="n">
        <f aca="false">계산_모델4!C210</f>
        <v>12.6756978034973</v>
      </c>
      <c r="J52" s="25" t="n">
        <f aca="false">계산_모델5!C201</f>
        <v>9.31447065040213</v>
      </c>
      <c r="K52" s="23" t="n">
        <f aca="false">계산_모델5!C210</f>
        <v>2.07006454467773</v>
      </c>
    </row>
    <row r="53" customFormat="false" ht="15" hidden="false" customHeight="false" outlineLevel="0" collapsed="false">
      <c r="A53" s="20" t="n">
        <f aca="false">설정!$D$54</f>
        <v>512</v>
      </c>
      <c r="B53" s="25" t="n">
        <f aca="false">계산_모델1!D201</f>
        <v>21.8898544135951</v>
      </c>
      <c r="C53" s="23" t="n">
        <f aca="false">계산_모델1!D210</f>
        <v>4.40298461914063</v>
      </c>
      <c r="D53" s="25" t="n">
        <f aca="false">계산_모델2!D201</f>
        <v>11.1882620886689</v>
      </c>
      <c r="E53" s="23" t="n">
        <f aca="false">계산_모델2!D210</f>
        <v>10.5514788627625</v>
      </c>
      <c r="F53" s="25" t="n">
        <f aca="false">계산_모델3!D201</f>
        <v>10.6808567123142</v>
      </c>
      <c r="G53" s="23" t="n">
        <f aca="false">계산_모델3!D210</f>
        <v>17.2202568054199</v>
      </c>
      <c r="H53" s="25" t="n">
        <f aca="false">계산_모델4!D201</f>
        <v>12.4362927447065</v>
      </c>
      <c r="I53" s="23" t="n">
        <f aca="false">계산_모델4!D210</f>
        <v>12.7025532722473</v>
      </c>
      <c r="J53" s="25" t="n">
        <f aca="false">계산_모델5!D201</f>
        <v>9.46174105245014</v>
      </c>
      <c r="K53" s="23" t="n">
        <f aca="false">계산_모델5!D210</f>
        <v>2.08373641967773</v>
      </c>
    </row>
    <row r="54" customFormat="false" ht="15" hidden="false" customHeight="false" outlineLevel="0" collapsed="false">
      <c r="A54" s="20" t="n">
        <f aca="false">설정!$E$54</f>
        <v>1024</v>
      </c>
      <c r="B54" s="25" t="n">
        <f aca="false">계산_모델1!E201</f>
        <v>22.4128724112404</v>
      </c>
      <c r="C54" s="23" t="n">
        <f aca="false">계산_모델1!E210</f>
        <v>4.43423461914063</v>
      </c>
      <c r="D54" s="25" t="n">
        <f aca="false">계산_모델2!E201</f>
        <v>11.2774767620467</v>
      </c>
      <c r="E54" s="23" t="n">
        <f aca="false">계산_모델2!E210</f>
        <v>10.5573382377625</v>
      </c>
      <c r="F54" s="25" t="n">
        <f aca="false">계산_모델3!E201</f>
        <v>10.8271712452066</v>
      </c>
      <c r="G54" s="23" t="n">
        <f aca="false">계산_모델3!E210</f>
        <v>17.2251396179199</v>
      </c>
      <c r="H54" s="25" t="n">
        <f aca="false">계산_모델4!E201</f>
        <v>12.8012556443934</v>
      </c>
      <c r="I54" s="23" t="n">
        <f aca="false">계산_모델4!E210</f>
        <v>12.7318501472473</v>
      </c>
      <c r="J54" s="25" t="n">
        <f aca="false">계산_모델5!E201</f>
        <v>9.76124960459595</v>
      </c>
      <c r="K54" s="23" t="n">
        <f aca="false">계산_모델5!E210</f>
        <v>2.11108016967773</v>
      </c>
    </row>
    <row r="55" customFormat="false" ht="15" hidden="false" customHeight="false" outlineLevel="0" collapsed="false">
      <c r="A55" s="20" t="n">
        <f aca="false">설정!$F$54</f>
        <v>2048</v>
      </c>
      <c r="B55" s="25" t="n">
        <f aca="false">계산_모델1!F201</f>
        <v>23.4996294072762</v>
      </c>
      <c r="C55" s="23" t="n">
        <f aca="false">계산_모델1!F210</f>
        <v>4.49673461914063</v>
      </c>
      <c r="D55" s="25" t="n">
        <f aca="false">계산_모델2!F201</f>
        <v>11.6257147475737</v>
      </c>
      <c r="E55" s="23" t="n">
        <f aca="false">계산_모델2!F210</f>
        <v>10.5690569877625</v>
      </c>
      <c r="F55" s="25" t="n">
        <f aca="false">계산_모델3!F201</f>
        <v>11.1257689281656</v>
      </c>
      <c r="G55" s="23" t="n">
        <f aca="false">계산_모델3!F210</f>
        <v>17.2349052429199</v>
      </c>
      <c r="H55" s="25" t="n">
        <f aca="false">계산_모델4!F201</f>
        <v>13.1116043664891</v>
      </c>
      <c r="I55" s="23" t="n">
        <f aca="false">계산_모델4!F210</f>
        <v>12.7416157722473</v>
      </c>
      <c r="J55" s="25" t="n">
        <f aca="false">계산_모델5!F201</f>
        <v>10.3735925081992</v>
      </c>
      <c r="K55" s="23" t="n">
        <f aca="false">계산_모델5!F210</f>
        <v>2.16576766967773</v>
      </c>
    </row>
    <row r="56" customFormat="false" ht="15" hidden="false" customHeight="false" outlineLevel="0" collapsed="false">
      <c r="A56" s="20" t="n">
        <f aca="false">설정!$G$54</f>
        <v>4096</v>
      </c>
      <c r="B56" s="25" t="n">
        <f aca="false">계산_모델1!G201</f>
        <v>25.7278373208867</v>
      </c>
      <c r="C56" s="23" t="n">
        <f aca="false">계산_모델1!G210</f>
        <v>4.62173461914063</v>
      </c>
      <c r="D56" s="25" t="n">
        <f aca="false">계산_모델2!G201</f>
        <v>12.4004230819248</v>
      </c>
      <c r="E56" s="23" t="n">
        <f aca="false">계산_모델2!G210</f>
        <v>10.5924944877625</v>
      </c>
      <c r="F56" s="25" t="n">
        <f aca="false">계산_모델3!G201</f>
        <v>11.7465866142118</v>
      </c>
      <c r="G56" s="23" t="n">
        <f aca="false">계산_모델3!G210</f>
        <v>17.2544364929199</v>
      </c>
      <c r="H56" s="25" t="n">
        <f aca="false">계산_모델4!G201</f>
        <v>13.8139650791831</v>
      </c>
      <c r="I56" s="23" t="n">
        <f aca="false">계산_모델4!G210</f>
        <v>12.7611470222473</v>
      </c>
      <c r="J56" s="25" t="n">
        <f aca="false">계산_모델5!G201</f>
        <v>11.6478851876744</v>
      </c>
      <c r="K56" s="23" t="n">
        <f aca="false">계산_모델5!G210</f>
        <v>2.27514266967773</v>
      </c>
    </row>
    <row r="57" customFormat="false" ht="15" hidden="false" customHeight="false" outlineLevel="0" collapsed="false">
      <c r="A57" s="20" t="n">
        <f aca="false">설정!$H$54</f>
        <v>8192</v>
      </c>
      <c r="B57" s="25" t="n">
        <f aca="false">계산_모델1!H201</f>
        <v>30.5075163486168</v>
      </c>
      <c r="C57" s="23" t="n">
        <f aca="false">계산_모델1!H210</f>
        <v>4.87173461914063</v>
      </c>
      <c r="D57" s="25" t="n">
        <f aca="false">계산_모델2!H201</f>
        <v>14.0632268872413</v>
      </c>
      <c r="E57" s="23" t="n">
        <f aca="false">계산_모델2!H210</f>
        <v>10.6393694877625</v>
      </c>
      <c r="F57" s="25" t="n">
        <f aca="false">계산_모델3!H201</f>
        <v>13.082711266816</v>
      </c>
      <c r="G57" s="23" t="n">
        <f aca="false">계산_모델3!H210</f>
        <v>17.2934989929199</v>
      </c>
      <c r="H57" s="25" t="n">
        <f aca="false">계산_모델4!H201</f>
        <v>15.5091234597672</v>
      </c>
      <c r="I57" s="23" t="n">
        <f aca="false">계산_모델4!H210</f>
        <v>12.8002095222473</v>
      </c>
      <c r="J57" s="25" t="n">
        <f aca="false">계산_모델5!H201</f>
        <v>14.3948980357</v>
      </c>
      <c r="K57" s="23" t="n">
        <f aca="false">계산_모델5!H210</f>
        <v>2.49389266967773</v>
      </c>
    </row>
  </sheetData>
  <mergeCells count="50"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5:C15"/>
    <mergeCell ref="D15:E15"/>
    <mergeCell ref="F15:G15"/>
    <mergeCell ref="H15:I15"/>
    <mergeCell ref="J15:K15"/>
    <mergeCell ref="B27:C27"/>
    <mergeCell ref="D27:E27"/>
    <mergeCell ref="F27:G27"/>
    <mergeCell ref="H27:I27"/>
    <mergeCell ref="J27:K27"/>
    <mergeCell ref="B38:C38"/>
    <mergeCell ref="D38:E38"/>
    <mergeCell ref="F38:G38"/>
    <mergeCell ref="H38:I38"/>
    <mergeCell ref="J38:K38"/>
    <mergeCell ref="B49:C49"/>
    <mergeCell ref="D49:E49"/>
    <mergeCell ref="F49:G49"/>
    <mergeCell ref="H49:I49"/>
    <mergeCell ref="J49:K49"/>
  </mergeCells>
  <conditionalFormatting sqref="B12">
    <cfRule type="expression" priority="2" aboveAverage="0" equalAverage="0" bottom="0" percent="0" rank="0" text="" dxfId="0">
      <formula>LEFT(B12,2)="초과"</formula>
    </cfRule>
  </conditionalFormatting>
  <conditionalFormatting sqref="D12">
    <cfRule type="expression" priority="3" aboveAverage="0" equalAverage="0" bottom="0" percent="0" rank="0" text="" dxfId="0">
      <formula>LEFT(D12,2)="초과"</formula>
    </cfRule>
  </conditionalFormatting>
  <conditionalFormatting sqref="F12">
    <cfRule type="expression" priority="4" aboveAverage="0" equalAverage="0" bottom="0" percent="0" rank="0" text="" dxfId="0">
      <formula>LEFT(F12,2)="초과"</formula>
    </cfRule>
  </conditionalFormatting>
  <conditionalFormatting sqref="H12">
    <cfRule type="expression" priority="5" aboveAverage="0" equalAverage="0" bottom="0" percent="0" rank="0" text="" dxfId="0">
      <formula>LEFT(H12,2)="초과"</formula>
    </cfRule>
  </conditionalFormatting>
  <conditionalFormatting sqref="J12">
    <cfRule type="expression" priority="6" aboveAverage="0" equalAverage="0" bottom="0" percent="0" rank="0" text="" dxfId="0">
      <formula>LEFT(J12,2)="초과"</formula>
    </cfRule>
  </conditionalFormatting>
  <conditionalFormatting sqref="C51:C57">
    <cfRule type="expression" priority="7" aboveAverage="0" equalAverage="0" bottom="0" percent="0" rank="0" text="" dxfId="0">
      <formula>C51&gt;$B$5</formula>
    </cfRule>
  </conditionalFormatting>
  <conditionalFormatting sqref="E51:E57">
    <cfRule type="expression" priority="8" aboveAverage="0" equalAverage="0" bottom="0" percent="0" rank="0" text="" dxfId="0">
      <formula>E51&gt;$B$5</formula>
    </cfRule>
  </conditionalFormatting>
  <conditionalFormatting sqref="G51:G57">
    <cfRule type="expression" priority="9" aboveAverage="0" equalAverage="0" bottom="0" percent="0" rank="0" text="" dxfId="0">
      <formula>G51&gt;$B$5</formula>
    </cfRule>
  </conditionalFormatting>
  <conditionalFormatting sqref="I51:I57">
    <cfRule type="expression" priority="10" aboveAverage="0" equalAverage="0" bottom="0" percent="0" rank="0" text="" dxfId="0">
      <formula>I51&gt;$B$5</formula>
    </cfRule>
  </conditionalFormatting>
  <conditionalFormatting sqref="K51:K57">
    <cfRule type="expression" priority="11" aboveAverage="0" equalAverage="0" bottom="0" percent="0" rank="0" text="" dxfId="0">
      <formula>K51&gt;$B$5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8" min="6" style="0" width="10"/>
  </cols>
  <sheetData>
    <row r="1" customFormat="false" ht="21.6" hidden="false" customHeight="false" outlineLevel="0" collapsed="false">
      <c r="A1" s="26" t="s">
        <v>25</v>
      </c>
      <c r="B1" s="2"/>
      <c r="C1" s="2"/>
      <c r="D1" s="2"/>
      <c r="E1" s="2"/>
      <c r="F1" s="2"/>
      <c r="G1" s="2"/>
      <c r="H1" s="2"/>
    </row>
    <row r="2" customFormat="false" ht="17.15" hidden="false" customHeight="false" outlineLevel="0" collapsed="false">
      <c r="A2" s="27" t="s">
        <v>26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7.15" hidden="false" customHeight="false" outlineLevel="0" collapsed="false">
      <c r="A4" s="28" t="s">
        <v>27</v>
      </c>
      <c r="B4" s="29"/>
      <c r="C4" s="29"/>
      <c r="D4" s="29"/>
      <c r="E4" s="29"/>
      <c r="F4" s="2"/>
      <c r="G4" s="2"/>
      <c r="H4" s="2"/>
    </row>
    <row r="5" customFormat="false" ht="17.15" hidden="false" customHeight="false" outlineLevel="0" collapsed="false">
      <c r="A5" s="30" t="s">
        <v>28</v>
      </c>
      <c r="B5" s="31" t="n">
        <v>68</v>
      </c>
      <c r="C5" s="30" t="s">
        <v>29</v>
      </c>
      <c r="D5" s="32" t="s">
        <v>30</v>
      </c>
      <c r="E5" s="2"/>
      <c r="F5" s="2"/>
      <c r="G5" s="2"/>
      <c r="H5" s="2"/>
    </row>
    <row r="6" customFormat="false" ht="15" hidden="false" customHeight="false" outlineLevel="0" collapsed="false">
      <c r="A6" s="33" t="s">
        <v>31</v>
      </c>
      <c r="B6" s="34" t="n">
        <v>0.75</v>
      </c>
      <c r="C6" s="30"/>
      <c r="D6" s="32" t="s">
        <v>32</v>
      </c>
      <c r="E6" s="2"/>
      <c r="F6" s="2"/>
      <c r="G6" s="2"/>
      <c r="H6" s="2"/>
    </row>
    <row r="7" customFormat="false" ht="17.15" hidden="false" customHeight="false" outlineLevel="0" collapsed="false">
      <c r="A7" s="33" t="s">
        <v>33</v>
      </c>
      <c r="B7" s="34" t="n">
        <v>0.6</v>
      </c>
      <c r="C7" s="30"/>
      <c r="D7" s="32" t="s">
        <v>34</v>
      </c>
      <c r="E7" s="2"/>
      <c r="F7" s="2"/>
      <c r="G7" s="2"/>
      <c r="H7" s="2"/>
    </row>
    <row r="8" customFormat="false" ht="17.15" hidden="false" customHeight="false" outlineLevel="0" collapsed="false">
      <c r="A8" s="30" t="s">
        <v>35</v>
      </c>
      <c r="B8" s="31" t="n">
        <v>20</v>
      </c>
      <c r="C8" s="30" t="s">
        <v>36</v>
      </c>
      <c r="D8" s="6" t="s">
        <v>37</v>
      </c>
      <c r="E8" s="2"/>
      <c r="F8" s="2"/>
      <c r="G8" s="2"/>
      <c r="H8" s="2"/>
    </row>
    <row r="9" customFormat="false" ht="15" hidden="false" customHeight="false" outlineLevel="0" collapsed="false">
      <c r="A9" s="30" t="s">
        <v>38</v>
      </c>
      <c r="B9" s="31" t="n">
        <v>4</v>
      </c>
      <c r="C9" s="30" t="s">
        <v>39</v>
      </c>
      <c r="D9" s="6"/>
      <c r="E9" s="2"/>
      <c r="F9" s="2"/>
      <c r="G9" s="2"/>
      <c r="H9" s="2"/>
    </row>
    <row r="10" customFormat="false" ht="17.15" hidden="false" customHeight="false" outlineLevel="0" collapsed="false">
      <c r="A10" s="30" t="s">
        <v>40</v>
      </c>
      <c r="B10" s="34" t="n">
        <v>0.8</v>
      </c>
      <c r="C10" s="30"/>
      <c r="D10" s="32" t="s">
        <v>41</v>
      </c>
      <c r="E10" s="2"/>
      <c r="F10" s="2"/>
      <c r="G10" s="2"/>
      <c r="H10" s="2"/>
    </row>
    <row r="11" customFormat="false" ht="17.15" hidden="false" customHeight="false" outlineLevel="0" collapsed="false">
      <c r="A11" s="30" t="s">
        <v>42</v>
      </c>
      <c r="B11" s="31" t="n">
        <v>16</v>
      </c>
      <c r="C11" s="30" t="s">
        <v>43</v>
      </c>
      <c r="D11" s="32" t="s">
        <v>44</v>
      </c>
      <c r="E11" s="2"/>
      <c r="F11" s="2"/>
      <c r="G11" s="2"/>
      <c r="H11" s="2"/>
    </row>
    <row r="12" customFormat="false" ht="17.15" hidden="false" customHeight="false" outlineLevel="0" collapsed="false">
      <c r="A12" s="30" t="s">
        <v>45</v>
      </c>
      <c r="B12" s="31" t="n">
        <v>3</v>
      </c>
      <c r="C12" s="30" t="s">
        <v>43</v>
      </c>
      <c r="D12" s="6" t="s">
        <v>46</v>
      </c>
      <c r="E12" s="2"/>
      <c r="F12" s="2"/>
      <c r="G12" s="2"/>
      <c r="H12" s="2"/>
    </row>
    <row r="13" customFormat="false" ht="17.15" hidden="false" customHeight="false" outlineLevel="0" collapsed="false">
      <c r="A13" s="33" t="s">
        <v>47</v>
      </c>
      <c r="B13" s="31" t="n">
        <v>0.5</v>
      </c>
      <c r="C13" s="30" t="s">
        <v>43</v>
      </c>
      <c r="D13" s="32" t="s">
        <v>48</v>
      </c>
      <c r="E13" s="2"/>
      <c r="F13" s="2"/>
      <c r="G13" s="2"/>
      <c r="H13" s="2"/>
    </row>
    <row r="14" customFormat="false" ht="17.15" hidden="false" customHeight="false" outlineLevel="0" collapsed="false">
      <c r="A14" s="33" t="s">
        <v>49</v>
      </c>
      <c r="B14" s="34" t="n">
        <v>0.1</v>
      </c>
      <c r="C14" s="30"/>
      <c r="D14" s="6" t="s">
        <v>50</v>
      </c>
      <c r="E14" s="2"/>
      <c r="F14" s="2"/>
      <c r="G14" s="2"/>
      <c r="H14" s="2"/>
    </row>
    <row r="15" customFormat="false" ht="17.15" hidden="false" customHeight="false" outlineLevel="0" collapsed="false">
      <c r="A15" s="33" t="s">
        <v>51</v>
      </c>
      <c r="B15" s="31" t="n">
        <v>0</v>
      </c>
      <c r="C15" s="30" t="s">
        <v>52</v>
      </c>
      <c r="D15" s="32" t="s">
        <v>53</v>
      </c>
      <c r="E15" s="2"/>
      <c r="F15" s="2"/>
      <c r="G15" s="2"/>
      <c r="H15" s="2"/>
    </row>
    <row r="16" customFormat="false" ht="15" hidden="false" customHeight="false" outlineLevel="0" collapsed="false">
      <c r="A16" s="33" t="s">
        <v>54</v>
      </c>
      <c r="B16" s="31" t="n">
        <v>0</v>
      </c>
      <c r="C16" s="30" t="s">
        <v>52</v>
      </c>
      <c r="D16" s="6"/>
      <c r="E16" s="2"/>
      <c r="F16" s="2"/>
      <c r="G16" s="2"/>
      <c r="H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7.15" hidden="false" customHeight="false" outlineLevel="0" collapsed="false">
      <c r="A18" s="7" t="s">
        <v>55</v>
      </c>
      <c r="B18" s="2"/>
      <c r="C18" s="2"/>
      <c r="D18" s="6" t="s">
        <v>56</v>
      </c>
      <c r="E18" s="2"/>
      <c r="F18" s="2"/>
      <c r="G18" s="2"/>
      <c r="H18" s="2"/>
    </row>
    <row r="19" customFormat="false" ht="17.15" hidden="false" customHeight="false" outlineLevel="0" collapsed="false">
      <c r="A19" s="35" t="s">
        <v>57</v>
      </c>
      <c r="B19" s="8" t="n">
        <v>8</v>
      </c>
      <c r="C19" s="8" t="n">
        <v>16</v>
      </c>
      <c r="D19" s="2"/>
      <c r="E19" s="2"/>
      <c r="F19" s="2"/>
      <c r="G19" s="2"/>
      <c r="H19" s="2"/>
    </row>
    <row r="20" customFormat="false" ht="15" hidden="false" customHeight="false" outlineLevel="0" collapsed="false">
      <c r="A20" s="36" t="n">
        <v>4</v>
      </c>
      <c r="B20" s="37" t="n">
        <v>40</v>
      </c>
      <c r="C20" s="37" t="n">
        <v>20</v>
      </c>
      <c r="D20" s="2"/>
      <c r="E20" s="2"/>
      <c r="F20" s="2"/>
      <c r="G20" s="2"/>
      <c r="H20" s="2"/>
    </row>
    <row r="21" customFormat="false" ht="15" hidden="false" customHeight="false" outlineLevel="0" collapsed="false">
      <c r="A21" s="36" t="n">
        <v>8</v>
      </c>
      <c r="B21" s="37" t="n">
        <v>40</v>
      </c>
      <c r="C21" s="37" t="n">
        <v>20</v>
      </c>
      <c r="D21" s="2"/>
      <c r="E21" s="2"/>
      <c r="F21" s="2"/>
      <c r="G21" s="2"/>
      <c r="H21" s="2"/>
    </row>
    <row r="22" customFormat="false" ht="15" hidden="false" customHeight="false" outlineLevel="0" collapsed="false">
      <c r="A22" s="36" t="n">
        <v>16</v>
      </c>
      <c r="B22" s="37" t="n">
        <v>20</v>
      </c>
      <c r="C22" s="37" t="n">
        <v>20</v>
      </c>
      <c r="D22" s="2"/>
      <c r="E22" s="2"/>
      <c r="F22" s="2"/>
      <c r="G22" s="2"/>
      <c r="H22" s="2"/>
    </row>
    <row r="23" customFormat="false" ht="17.15" hidden="false" customHeight="false" outlineLevel="0" collapsed="false">
      <c r="A23" s="27" t="s">
        <v>58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8" t="s">
        <v>59</v>
      </c>
      <c r="B25" s="29"/>
      <c r="C25" s="29"/>
      <c r="D25" s="29"/>
      <c r="E25" s="29"/>
      <c r="F25" s="2"/>
      <c r="G25" s="2"/>
      <c r="H25" s="2"/>
    </row>
    <row r="26" customFormat="false" ht="17.15" hidden="false" customHeight="false" outlineLevel="0" collapsed="false">
      <c r="A26" s="8" t="s">
        <v>60</v>
      </c>
      <c r="B26" s="38" t="s">
        <v>61</v>
      </c>
      <c r="C26" s="38" t="s">
        <v>62</v>
      </c>
      <c r="D26" s="38" t="s">
        <v>63</v>
      </c>
      <c r="E26" s="8" t="s">
        <v>64</v>
      </c>
      <c r="F26" s="2"/>
      <c r="G26" s="2"/>
      <c r="H26" s="2"/>
    </row>
    <row r="27" customFormat="false" ht="17.15" hidden="false" customHeight="false" outlineLevel="0" collapsed="false">
      <c r="A27" s="30" t="s">
        <v>65</v>
      </c>
      <c r="B27" s="39" t="n">
        <v>4</v>
      </c>
      <c r="C27" s="39" t="n">
        <v>128</v>
      </c>
      <c r="D27" s="39" t="n">
        <v>16</v>
      </c>
      <c r="E27" s="6" t="s">
        <v>66</v>
      </c>
      <c r="F27" s="2"/>
      <c r="G27" s="2"/>
      <c r="H27" s="2"/>
    </row>
    <row r="28" customFormat="false" ht="17.15" hidden="false" customHeight="false" outlineLevel="0" collapsed="false">
      <c r="A28" s="30" t="s">
        <v>67</v>
      </c>
      <c r="B28" s="39" t="n">
        <v>4</v>
      </c>
      <c r="C28" s="39" t="n">
        <v>128</v>
      </c>
      <c r="D28" s="39" t="n">
        <v>16</v>
      </c>
      <c r="E28" s="6" t="s">
        <v>68</v>
      </c>
      <c r="F28" s="2"/>
      <c r="G28" s="2"/>
      <c r="H28" s="2"/>
    </row>
    <row r="29" customFormat="false" ht="17.15" hidden="false" customHeight="false" outlineLevel="0" collapsed="false">
      <c r="A29" s="30" t="s">
        <v>69</v>
      </c>
      <c r="B29" s="39" t="n">
        <v>4</v>
      </c>
      <c r="C29" s="39" t="n">
        <v>128</v>
      </c>
      <c r="D29" s="39" t="n">
        <v>16</v>
      </c>
      <c r="E29" s="6" t="s">
        <v>70</v>
      </c>
      <c r="F29" s="2"/>
      <c r="G29" s="2"/>
      <c r="H29" s="2"/>
    </row>
    <row r="30" customFormat="false" ht="17.15" hidden="false" customHeight="false" outlineLevel="0" collapsed="false">
      <c r="A30" s="30" t="s">
        <v>71</v>
      </c>
      <c r="B30" s="39" t="n">
        <v>8</v>
      </c>
      <c r="C30" s="39" t="n">
        <v>128</v>
      </c>
      <c r="D30" s="39" t="n">
        <v>16</v>
      </c>
      <c r="E30" s="6" t="s">
        <v>72</v>
      </c>
      <c r="F30" s="2"/>
      <c r="G30" s="2"/>
      <c r="H30" s="2"/>
    </row>
    <row r="31" customFormat="false" ht="17.15" hidden="false" customHeight="false" outlineLevel="0" collapsed="false">
      <c r="A31" s="30" t="s">
        <v>73</v>
      </c>
      <c r="B31" s="39" t="n">
        <v>4</v>
      </c>
      <c r="C31" s="39" t="n">
        <v>128</v>
      </c>
      <c r="D31" s="39" t="n">
        <v>16</v>
      </c>
      <c r="E31" s="32" t="s">
        <v>74</v>
      </c>
      <c r="F31" s="2"/>
      <c r="G31" s="2"/>
      <c r="H31" s="2"/>
    </row>
    <row r="32" customFormat="false" ht="17.15" hidden="false" customHeight="false" outlineLevel="0" collapsed="false">
      <c r="A32" s="30" t="s">
        <v>75</v>
      </c>
      <c r="B32" s="39" t="n">
        <v>4</v>
      </c>
      <c r="C32" s="39" t="n">
        <v>128</v>
      </c>
      <c r="D32" s="39" t="n">
        <v>16</v>
      </c>
      <c r="E32" s="6" t="s">
        <v>76</v>
      </c>
      <c r="F32" s="2"/>
      <c r="G32" s="2"/>
      <c r="H32" s="2"/>
    </row>
    <row r="33" customFormat="false" ht="17.15" hidden="false" customHeight="false" outlineLevel="0" collapsed="false">
      <c r="A33" s="22" t="s">
        <v>77</v>
      </c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7.15" hidden="false" customHeight="false" outlineLevel="0" collapsed="false">
      <c r="A35" s="30" t="s">
        <v>78</v>
      </c>
      <c r="B35" s="31" t="n">
        <v>8</v>
      </c>
      <c r="C35" s="30" t="s">
        <v>79</v>
      </c>
      <c r="D35" s="6" t="s">
        <v>80</v>
      </c>
      <c r="E35" s="2"/>
      <c r="F35" s="2"/>
      <c r="G35" s="2"/>
      <c r="H35" s="2"/>
    </row>
    <row r="36" customFormat="false" ht="15" hidden="false" customHeight="false" outlineLevel="0" collapsed="false">
      <c r="A36" s="30" t="s">
        <v>81</v>
      </c>
      <c r="B36" s="31" t="n">
        <v>8</v>
      </c>
      <c r="C36" s="30" t="s">
        <v>79</v>
      </c>
      <c r="D36" s="6"/>
      <c r="E36" s="2"/>
      <c r="F36" s="2"/>
      <c r="G36" s="2"/>
      <c r="H36" s="2"/>
    </row>
    <row r="37" customFormat="false" ht="17.15" hidden="false" customHeight="false" outlineLevel="0" collapsed="false">
      <c r="A37" s="30" t="s">
        <v>82</v>
      </c>
      <c r="B37" s="31" t="n">
        <v>32</v>
      </c>
      <c r="C37" s="30" t="s">
        <v>79</v>
      </c>
      <c r="D37" s="6" t="s">
        <v>83</v>
      </c>
      <c r="E37" s="2"/>
      <c r="F37" s="2"/>
      <c r="G37" s="2"/>
      <c r="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7.15" hidden="false" customHeight="false" outlineLevel="0" collapsed="false">
      <c r="A39" s="40" t="s">
        <v>84</v>
      </c>
      <c r="B39" s="29"/>
      <c r="C39" s="29"/>
      <c r="D39" s="29"/>
      <c r="E39" s="29"/>
      <c r="F39" s="2"/>
      <c r="G39" s="2"/>
      <c r="H39" s="2"/>
    </row>
    <row r="40" customFormat="false" ht="17.15" hidden="false" customHeight="false" outlineLevel="0" collapsed="false">
      <c r="A40" s="30" t="s">
        <v>85</v>
      </c>
      <c r="B40" s="31" t="s">
        <v>86</v>
      </c>
      <c r="C40" s="30"/>
      <c r="D40" s="6" t="s">
        <v>87</v>
      </c>
      <c r="E40" s="2"/>
      <c r="F40" s="2"/>
      <c r="G40" s="2"/>
      <c r="H40" s="2"/>
    </row>
    <row r="41" customFormat="false" ht="17.15" hidden="false" customHeight="false" outlineLevel="0" collapsed="false">
      <c r="A41" s="30" t="s">
        <v>88</v>
      </c>
      <c r="B41" s="31" t="n">
        <v>100</v>
      </c>
      <c r="C41" s="30" t="s">
        <v>89</v>
      </c>
      <c r="D41" s="6" t="s">
        <v>90</v>
      </c>
      <c r="E41" s="2"/>
      <c r="F41" s="2"/>
      <c r="G41" s="2"/>
      <c r="H41" s="2"/>
    </row>
    <row r="42" customFormat="false" ht="17.15" hidden="false" customHeight="false" outlineLevel="0" collapsed="false">
      <c r="A42" s="30" t="s">
        <v>91</v>
      </c>
      <c r="B42" s="31" t="n">
        <v>10</v>
      </c>
      <c r="C42" s="30" t="s">
        <v>29</v>
      </c>
      <c r="D42" s="32" t="s">
        <v>92</v>
      </c>
      <c r="E42" s="2"/>
      <c r="F42" s="2"/>
      <c r="G42" s="2"/>
      <c r="H42" s="2"/>
    </row>
    <row r="43" customFormat="false" ht="17.15" hidden="false" customHeight="false" outlineLevel="0" collapsed="false">
      <c r="A43" s="30" t="s">
        <v>93</v>
      </c>
      <c r="B43" s="31" t="n">
        <v>16</v>
      </c>
      <c r="C43" s="30" t="s">
        <v>79</v>
      </c>
      <c r="D43" s="6" t="s">
        <v>94</v>
      </c>
      <c r="E43" s="2"/>
      <c r="F43" s="2"/>
      <c r="G43" s="2"/>
      <c r="H43" s="2"/>
    </row>
    <row r="44" customFormat="false" ht="17.15" hidden="false" customHeight="false" outlineLevel="0" collapsed="false">
      <c r="A44" s="33" t="s">
        <v>95</v>
      </c>
      <c r="B44" s="31" t="n">
        <v>6</v>
      </c>
      <c r="C44" s="30" t="s">
        <v>96</v>
      </c>
      <c r="D44" s="32" t="s">
        <v>97</v>
      </c>
      <c r="E44" s="2"/>
      <c r="F44" s="2"/>
      <c r="G44" s="2"/>
      <c r="H44" s="2"/>
    </row>
    <row r="45" customFormat="false" ht="17.15" hidden="false" customHeight="false" outlineLevel="0" collapsed="false">
      <c r="A45" s="30" t="s">
        <v>98</v>
      </c>
      <c r="B45" s="31" t="n">
        <v>2</v>
      </c>
      <c r="C45" s="30" t="s">
        <v>99</v>
      </c>
      <c r="D45" s="6" t="s">
        <v>100</v>
      </c>
      <c r="E45" s="2"/>
      <c r="F45" s="2"/>
      <c r="G45" s="2"/>
      <c r="H45" s="2"/>
    </row>
    <row r="46" customFormat="false" ht="17.15" hidden="false" customHeight="false" outlineLevel="0" collapsed="false">
      <c r="A46" s="30" t="s">
        <v>101</v>
      </c>
      <c r="B46" s="31" t="n">
        <v>5</v>
      </c>
      <c r="C46" s="30" t="s">
        <v>89</v>
      </c>
      <c r="D46" s="6" t="s">
        <v>102</v>
      </c>
      <c r="E46" s="2"/>
      <c r="F46" s="2"/>
      <c r="G46" s="2"/>
      <c r="H46" s="2"/>
    </row>
    <row r="47" customFormat="false" ht="17.15" hidden="false" customHeight="false" outlineLevel="0" collapsed="false">
      <c r="A47" s="33" t="s">
        <v>103</v>
      </c>
      <c r="B47" s="41" t="s">
        <v>104</v>
      </c>
      <c r="C47" s="30"/>
      <c r="D47" s="32" t="s">
        <v>105</v>
      </c>
      <c r="E47" s="2"/>
      <c r="F47" s="2"/>
      <c r="G47" s="2"/>
      <c r="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A49" s="28" t="s">
        <v>106</v>
      </c>
      <c r="B49" s="29"/>
      <c r="C49" s="29"/>
      <c r="D49" s="29"/>
      <c r="E49" s="29"/>
      <c r="F49" s="2"/>
      <c r="G49" s="2"/>
      <c r="H49" s="2"/>
    </row>
    <row r="50" customFormat="false" ht="17.15" hidden="false" customHeight="false" outlineLevel="0" collapsed="false">
      <c r="A50" s="30" t="s">
        <v>107</v>
      </c>
      <c r="B50" s="30" t="n">
        <v>1</v>
      </c>
      <c r="C50" s="2"/>
      <c r="D50" s="6" t="s">
        <v>108</v>
      </c>
      <c r="E50" s="2"/>
      <c r="F50" s="2"/>
      <c r="G50" s="2"/>
      <c r="H50" s="2"/>
    </row>
    <row r="51" customFormat="false" ht="15" hidden="false" customHeight="false" outlineLevel="0" collapsed="false">
      <c r="A51" s="33" t="s">
        <v>109</v>
      </c>
      <c r="B51" s="31" t="n">
        <v>256</v>
      </c>
      <c r="C51" s="30" t="s">
        <v>110</v>
      </c>
      <c r="D51" s="32" t="s">
        <v>111</v>
      </c>
      <c r="E51" s="2"/>
      <c r="F51" s="2"/>
      <c r="G51" s="2"/>
      <c r="H51" s="2"/>
    </row>
    <row r="52" customFormat="false" ht="17.15" hidden="false" customHeight="false" outlineLevel="0" collapsed="false">
      <c r="A52" s="33" t="s">
        <v>112</v>
      </c>
      <c r="B52" s="31" t="n">
        <v>0.5</v>
      </c>
      <c r="C52" s="30"/>
      <c r="D52" s="6" t="s">
        <v>113</v>
      </c>
      <c r="E52" s="2"/>
      <c r="F52" s="2"/>
      <c r="G52" s="2"/>
      <c r="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false" outlineLevel="0" collapsed="false">
      <c r="A54" s="7" t="s">
        <v>114</v>
      </c>
      <c r="B54" s="42" t="n">
        <v>128</v>
      </c>
      <c r="C54" s="42" t="n">
        <v>256</v>
      </c>
      <c r="D54" s="42" t="n">
        <v>512</v>
      </c>
      <c r="E54" s="42" t="n">
        <v>1024</v>
      </c>
      <c r="F54" s="42" t="n">
        <v>2048</v>
      </c>
      <c r="G54" s="42" t="n">
        <v>4096</v>
      </c>
      <c r="H54" s="42" t="n">
        <v>8192</v>
      </c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7.15" hidden="false" customHeight="false" outlineLevel="0" collapsed="false">
      <c r="A56" s="28" t="s">
        <v>115</v>
      </c>
      <c r="B56" s="29"/>
      <c r="C56" s="29"/>
      <c r="D56" s="29"/>
      <c r="E56" s="29"/>
      <c r="F56" s="2"/>
      <c r="G56" s="2"/>
      <c r="H56" s="2"/>
    </row>
    <row r="57" customFormat="false" ht="17.15" hidden="false" customHeight="false" outlineLevel="0" collapsed="false">
      <c r="A57" s="30" t="s">
        <v>116</v>
      </c>
      <c r="B57" s="43" t="n">
        <f aca="false">설정!$B$35/8</f>
        <v>1</v>
      </c>
      <c r="C57" s="30" t="s">
        <v>96</v>
      </c>
      <c r="D57" s="6"/>
      <c r="E57" s="2"/>
      <c r="F57" s="2"/>
      <c r="G57" s="2"/>
      <c r="H57" s="2"/>
    </row>
    <row r="58" customFormat="false" ht="17.15" hidden="false" customHeight="false" outlineLevel="0" collapsed="false">
      <c r="A58" s="30" t="s">
        <v>117</v>
      </c>
      <c r="B58" s="43" t="n">
        <f aca="false">설정!$B$36/8</f>
        <v>1</v>
      </c>
      <c r="C58" s="30" t="s">
        <v>96</v>
      </c>
      <c r="D58" s="6"/>
      <c r="E58" s="2"/>
      <c r="F58" s="2"/>
      <c r="G58" s="2"/>
      <c r="H58" s="2"/>
    </row>
    <row r="59" customFormat="false" ht="17.15" hidden="false" customHeight="false" outlineLevel="0" collapsed="false">
      <c r="A59" s="30" t="s">
        <v>118</v>
      </c>
      <c r="B59" s="43" t="n">
        <f aca="false">설정!$B$37/8</f>
        <v>4</v>
      </c>
      <c r="C59" s="30" t="s">
        <v>96</v>
      </c>
      <c r="D59" s="6"/>
      <c r="E59" s="2"/>
      <c r="F59" s="2"/>
      <c r="G59" s="2"/>
      <c r="H59" s="2"/>
    </row>
    <row r="60" customFormat="false" ht="15" hidden="false" customHeight="false" outlineLevel="0" collapsed="false">
      <c r="A60" s="33" t="s">
        <v>119</v>
      </c>
      <c r="B60" s="44" t="n">
        <f aca="false">설정!$B$5*1000000000*설정!$B$6</f>
        <v>51000000000</v>
      </c>
      <c r="C60" s="30" t="s">
        <v>120</v>
      </c>
      <c r="D60" s="6"/>
      <c r="E60" s="2"/>
      <c r="F60" s="2"/>
      <c r="G60" s="2"/>
      <c r="H60" s="2"/>
    </row>
    <row r="61" customFormat="false" ht="17.15" hidden="false" customHeight="false" outlineLevel="0" collapsed="false">
      <c r="A61" s="33" t="s">
        <v>121</v>
      </c>
      <c r="B61" s="45" t="n">
        <f aca="false">설정!$B$9*1024*1024*설정!$B$10/2</f>
        <v>1677721.6</v>
      </c>
      <c r="C61" s="30" t="s">
        <v>96</v>
      </c>
      <c r="D61" s="6"/>
      <c r="E61" s="2"/>
      <c r="F61" s="2"/>
      <c r="G61" s="2"/>
      <c r="H61" s="2"/>
    </row>
    <row r="62" customFormat="false" ht="17.15" hidden="false" customHeight="false" outlineLevel="0" collapsed="false">
      <c r="A62" s="33" t="s">
        <v>122</v>
      </c>
      <c r="B62" s="46" t="n">
        <f aca="false">설정!$B$11-설정!$B$12</f>
        <v>13</v>
      </c>
      <c r="C62" s="30" t="s">
        <v>43</v>
      </c>
      <c r="D62" s="6" t="s">
        <v>123</v>
      </c>
      <c r="E62" s="2"/>
      <c r="F62" s="2"/>
      <c r="G62" s="2"/>
      <c r="H62" s="2"/>
    </row>
    <row r="63" customFormat="false" ht="17.15" hidden="false" customHeight="false" outlineLevel="0" collapsed="false">
      <c r="A63" s="30" t="s">
        <v>124</v>
      </c>
      <c r="B63" s="44" t="n">
        <f aca="false">IFERROR(INDEX(설정!$B$20:$C$22,MATCH(설정!$B$27,설정!$A$20:$A$22,1),MATCH(설정!$B$35,설정!$B$19:$C$19,1)),INDEX(설정!$B$20:$C$22,1,1))*1000000000000*설정!$B$7</f>
        <v>24000000000000</v>
      </c>
      <c r="C63" s="30" t="s">
        <v>125</v>
      </c>
      <c r="D63" s="6" t="s">
        <v>126</v>
      </c>
      <c r="E63" s="2"/>
      <c r="F63" s="2"/>
      <c r="G63" s="2"/>
      <c r="H63" s="2"/>
    </row>
    <row r="64" customFormat="false" ht="17.15" hidden="false" customHeight="false" outlineLevel="0" collapsed="false">
      <c r="A64" s="30" t="s">
        <v>127</v>
      </c>
      <c r="B64" s="44" t="n">
        <f aca="false">IFERROR(INDEX(설정!$B$20:$C$22,MATCH(설정!$B$28,설정!$A$20:$A$22,1),MATCH(설정!$B$35,설정!$B$19:$C$19,1)),INDEX(설정!$B$20:$C$22,1,1))*1000000000000*설정!$B$7</f>
        <v>24000000000000</v>
      </c>
      <c r="C64" s="30" t="s">
        <v>125</v>
      </c>
      <c r="D64" s="6" t="s">
        <v>126</v>
      </c>
      <c r="E64" s="2"/>
      <c r="F64" s="2"/>
      <c r="G64" s="2"/>
      <c r="H64" s="2"/>
    </row>
    <row r="65" customFormat="false" ht="17.15" hidden="false" customHeight="false" outlineLevel="0" collapsed="false">
      <c r="A65" s="30" t="s">
        <v>128</v>
      </c>
      <c r="B65" s="44" t="n">
        <f aca="false">IFERROR(INDEX(설정!$B$20:$C$22,MATCH(설정!$B$29,설정!$A$20:$A$22,1),MATCH(설정!$B$35,설정!$B$19:$C$19,1)),INDEX(설정!$B$20:$C$22,1,1))*1000000000000*설정!$B$7</f>
        <v>24000000000000</v>
      </c>
      <c r="C65" s="30" t="s">
        <v>125</v>
      </c>
      <c r="D65" s="6" t="s">
        <v>126</v>
      </c>
      <c r="E65" s="2"/>
      <c r="F65" s="2"/>
      <c r="G65" s="2"/>
      <c r="H65" s="2"/>
    </row>
    <row r="66" customFormat="false" ht="17.15" hidden="false" customHeight="false" outlineLevel="0" collapsed="false">
      <c r="A66" s="30" t="s">
        <v>129</v>
      </c>
      <c r="B66" s="44" t="n">
        <f aca="false">IFERROR(INDEX(설정!$B$20:$C$22,MATCH(설정!$B$30,설정!$A$20:$A$22,1),MATCH(설정!$B$35,설정!$B$19:$C$19,1)),INDEX(설정!$B$20:$C$22,1,1))*1000000000000*설정!$B$7</f>
        <v>24000000000000</v>
      </c>
      <c r="C66" s="30" t="s">
        <v>125</v>
      </c>
      <c r="D66" s="6" t="s">
        <v>126</v>
      </c>
      <c r="E66" s="2"/>
      <c r="F66" s="2"/>
      <c r="G66" s="2"/>
      <c r="H66" s="2"/>
    </row>
    <row r="67" customFormat="false" ht="17.15" hidden="false" customHeight="false" outlineLevel="0" collapsed="false">
      <c r="A67" s="30" t="s">
        <v>130</v>
      </c>
      <c r="B67" s="44" t="n">
        <f aca="false">IFERROR(INDEX(설정!$B$20:$C$22,MATCH(설정!$B$31,설정!$A$20:$A$22,1),MATCH(설정!$B$35,설정!$B$19:$C$19,1)),INDEX(설정!$B$20:$C$22,1,1))*1000000000000*설정!$B$7</f>
        <v>24000000000000</v>
      </c>
      <c r="C67" s="30" t="s">
        <v>125</v>
      </c>
      <c r="D67" s="6" t="s">
        <v>126</v>
      </c>
      <c r="E67" s="2"/>
      <c r="F67" s="2"/>
      <c r="G67" s="2"/>
      <c r="H67" s="2"/>
    </row>
    <row r="68" customFormat="false" ht="17.15" hidden="false" customHeight="false" outlineLevel="0" collapsed="false">
      <c r="A68" s="33" t="s">
        <v>131</v>
      </c>
      <c r="B68" s="44" t="n">
        <f aca="false">IFERROR(INDEX(설정!$B$20:$C$22,MATCH(설정!$B$36,설정!$A$20:$A$22,1),MATCH(설정!$B$35,설정!$B$19:$C$19,1)),INDEX(설정!$B$20:$C$22,1,1))*1000000000000*설정!$B$7</f>
        <v>24000000000000</v>
      </c>
      <c r="C68" s="30" t="s">
        <v>125</v>
      </c>
      <c r="D68" s="6" t="s">
        <v>132</v>
      </c>
      <c r="E68" s="2"/>
      <c r="F68" s="2"/>
      <c r="G68" s="2"/>
      <c r="H68" s="2"/>
    </row>
    <row r="69" customFormat="false" ht="17.15" hidden="false" customHeight="false" outlineLevel="0" collapsed="false">
      <c r="A69" s="30" t="s">
        <v>133</v>
      </c>
      <c r="B69" s="44" t="n">
        <f aca="false">설정!$B$8*1000000000000*설정!$B$7</f>
        <v>12000000000000</v>
      </c>
      <c r="C69" s="30" t="s">
        <v>125</v>
      </c>
      <c r="D69" s="6"/>
      <c r="E69" s="2"/>
      <c r="F69" s="2"/>
      <c r="G69" s="2"/>
      <c r="H69" s="2"/>
    </row>
    <row r="70" customFormat="false" ht="15" hidden="false" customHeight="false" outlineLevel="0" collapsed="false">
      <c r="A70" s="33" t="s">
        <v>134</v>
      </c>
      <c r="B70" s="47" t="str">
        <f aca="false">"Attn W"&amp;설정!$B$27&amp;" / GDN W"&amp;설정!$B$28&amp;" / FFN W"&amp;설정!$B$29&amp;" / Router W"&amp;설정!$B$30&amp;" / LM W"&amp;설정!$B$31&amp;" / A"&amp;설정!$B$35&amp;" / KV"&amp;설정!$B$36&amp;" / state "&amp;설정!$B$37&amp;"b / top-k "&amp;설정!$B$40</f>
        <v>Attn W4 / GDN W4 / FFN W4 / Router W8 / LM W4 / A8 / KV8 / state 32b / top-k CPU</v>
      </c>
      <c r="C70" s="30"/>
      <c r="D70" s="6"/>
      <c r="E70" s="2"/>
      <c r="F70" s="2"/>
      <c r="G70" s="2"/>
      <c r="H70" s="2"/>
    </row>
  </sheetData>
  <dataValidations count="4">
    <dataValidation allowBlank="false" errorStyle="stop" operator="between" showDropDown="false" showErrorMessage="false" showInputMessage="false" sqref="B27:B32" type="list">
      <formula1>"4,8,16"</formula1>
      <formula2>0</formula2>
    </dataValidation>
    <dataValidation allowBlank="false" errorStyle="stop" operator="between" showDropDown="false" showErrorMessage="false" showInputMessage="false" sqref="B35" type="list">
      <formula1>"8,16"</formula1>
      <formula2>0</formula2>
    </dataValidation>
    <dataValidation allowBlank="false" errorStyle="stop" operator="between" showDropDown="false" showErrorMessage="false" showInputMessage="false" sqref="B40" type="list">
      <formula1>"CPU,NPU"</formula1>
      <formula2>0</formula2>
    </dataValidation>
    <dataValidation allowBlank="false" errorStyle="stop" operator="between" showDropDown="false" showErrorMessage="false" showInputMessage="false" sqref="B47" type="list">
      <formula1>"균등,실측"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20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1" t="s">
        <v>135</v>
      </c>
      <c r="B1" s="2"/>
      <c r="C1" s="2"/>
      <c r="D1" s="2"/>
      <c r="E1" s="2"/>
      <c r="F1" s="2"/>
      <c r="G1" s="2"/>
    </row>
    <row r="2" customFormat="false" ht="17.15" hidden="false" customHeight="false" outlineLevel="0" collapsed="false">
      <c r="A2" s="27" t="s">
        <v>136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7.15" hidden="false" customHeight="false" outlineLevel="0" collapsed="false">
      <c r="A4" s="48" t="s">
        <v>6</v>
      </c>
      <c r="B4" s="48" t="s">
        <v>137</v>
      </c>
      <c r="C4" s="48" t="s">
        <v>138</v>
      </c>
      <c r="D4" s="48" t="s">
        <v>139</v>
      </c>
      <c r="E4" s="48" t="s">
        <v>140</v>
      </c>
      <c r="F4" s="48" t="s">
        <v>141</v>
      </c>
      <c r="G4" s="35" t="s">
        <v>142</v>
      </c>
    </row>
    <row r="5" customFormat="false" ht="15" hidden="false" customHeight="false" outlineLevel="0" collapsed="false">
      <c r="A5" s="49" t="s">
        <v>143</v>
      </c>
      <c r="B5" s="50"/>
      <c r="C5" s="50"/>
      <c r="D5" s="50"/>
      <c r="E5" s="50"/>
      <c r="F5" s="50"/>
      <c r="G5" s="50"/>
    </row>
    <row r="6" customFormat="false" ht="15" hidden="false" customHeight="false" outlineLevel="0" collapsed="false">
      <c r="A6" s="33" t="s">
        <v>144</v>
      </c>
      <c r="B6" s="51" t="s">
        <v>145</v>
      </c>
      <c r="C6" s="51" t="s">
        <v>146</v>
      </c>
      <c r="D6" s="51" t="s">
        <v>147</v>
      </c>
      <c r="E6" s="51" t="s">
        <v>148</v>
      </c>
      <c r="F6" s="51" t="s">
        <v>149</v>
      </c>
      <c r="G6" s="6"/>
    </row>
    <row r="7" customFormat="false" ht="17.15" hidden="false" customHeight="false" outlineLevel="0" collapsed="false">
      <c r="A7" s="33" t="s">
        <v>150</v>
      </c>
      <c r="B7" s="42" t="n">
        <v>32</v>
      </c>
      <c r="C7" s="42" t="n">
        <v>24</v>
      </c>
      <c r="D7" s="42" t="n">
        <v>40</v>
      </c>
      <c r="E7" s="42" t="n">
        <v>30</v>
      </c>
      <c r="F7" s="42" t="n">
        <v>28</v>
      </c>
      <c r="G7" s="6" t="s">
        <v>151</v>
      </c>
    </row>
    <row r="8" customFormat="false" ht="17.15" hidden="false" customHeight="false" outlineLevel="0" collapsed="false">
      <c r="A8" s="30" t="s">
        <v>152</v>
      </c>
      <c r="B8" s="42" t="n">
        <v>4096</v>
      </c>
      <c r="C8" s="42" t="n">
        <v>2880</v>
      </c>
      <c r="D8" s="42" t="n">
        <v>2048</v>
      </c>
      <c r="E8" s="42" t="n">
        <v>2816</v>
      </c>
      <c r="F8" s="42" t="n">
        <v>3072</v>
      </c>
      <c r="G8" s="6" t="s">
        <v>153</v>
      </c>
    </row>
    <row r="9" customFormat="false" ht="17.15" hidden="false" customHeight="false" outlineLevel="0" collapsed="false">
      <c r="A9" s="30" t="s">
        <v>154</v>
      </c>
      <c r="B9" s="42" t="n">
        <v>128256</v>
      </c>
      <c r="C9" s="42" t="n">
        <v>201088</v>
      </c>
      <c r="D9" s="42" t="n">
        <v>248320</v>
      </c>
      <c r="E9" s="42" t="n">
        <v>262144</v>
      </c>
      <c r="F9" s="42" t="n">
        <v>128256</v>
      </c>
      <c r="G9" s="6" t="s">
        <v>155</v>
      </c>
    </row>
    <row r="10" customFormat="false" ht="17.15" hidden="false" customHeight="false" outlineLevel="0" collapsed="false">
      <c r="A10" s="33" t="s">
        <v>156</v>
      </c>
      <c r="B10" s="39" t="n">
        <v>0</v>
      </c>
      <c r="C10" s="39" t="n">
        <v>0</v>
      </c>
      <c r="D10" s="39" t="n">
        <v>0</v>
      </c>
      <c r="E10" s="39" t="n">
        <v>1</v>
      </c>
      <c r="F10" s="39" t="n">
        <v>1</v>
      </c>
      <c r="G10" s="6" t="s">
        <v>157</v>
      </c>
    </row>
    <row r="11" customFormat="false" ht="15" hidden="false" customHeight="false" outlineLevel="0" collapsed="false">
      <c r="A11" s="52" t="s">
        <v>158</v>
      </c>
      <c r="B11" s="50"/>
      <c r="C11" s="50"/>
      <c r="D11" s="50"/>
      <c r="E11" s="50"/>
      <c r="F11" s="50"/>
      <c r="G11" s="50"/>
    </row>
    <row r="12" customFormat="false" ht="17.15" hidden="false" customHeight="false" outlineLevel="0" collapsed="false">
      <c r="A12" s="30" t="s">
        <v>159</v>
      </c>
      <c r="B12" s="42" t="n">
        <v>32</v>
      </c>
      <c r="C12" s="42" t="n">
        <v>12</v>
      </c>
      <c r="D12" s="42" t="n">
        <v>10</v>
      </c>
      <c r="E12" s="42" t="n">
        <v>5</v>
      </c>
      <c r="F12" s="42" t="n">
        <v>28</v>
      </c>
      <c r="G12" s="6" t="s">
        <v>160</v>
      </c>
    </row>
    <row r="13" customFormat="false" ht="17.15" hidden="false" customHeight="false" outlineLevel="0" collapsed="false">
      <c r="A13" s="30" t="s">
        <v>161</v>
      </c>
      <c r="B13" s="42" t="n">
        <v>32</v>
      </c>
      <c r="C13" s="42" t="n">
        <v>64</v>
      </c>
      <c r="D13" s="42" t="n">
        <v>16</v>
      </c>
      <c r="E13" s="42" t="n">
        <v>16</v>
      </c>
      <c r="F13" s="42" t="n">
        <v>24</v>
      </c>
      <c r="G13" s="6" t="s">
        <v>162</v>
      </c>
    </row>
    <row r="14" customFormat="false" ht="17.15" hidden="false" customHeight="false" outlineLevel="0" collapsed="false">
      <c r="A14" s="30" t="s">
        <v>163</v>
      </c>
      <c r="B14" s="42" t="n">
        <v>8</v>
      </c>
      <c r="C14" s="42" t="n">
        <v>8</v>
      </c>
      <c r="D14" s="42" t="n">
        <v>2</v>
      </c>
      <c r="E14" s="42" t="n">
        <v>2</v>
      </c>
      <c r="F14" s="42" t="n">
        <v>8</v>
      </c>
      <c r="G14" s="6" t="s">
        <v>164</v>
      </c>
    </row>
    <row r="15" customFormat="false" ht="17.15" hidden="false" customHeight="false" outlineLevel="0" collapsed="false">
      <c r="A15" s="30" t="s">
        <v>165</v>
      </c>
      <c r="B15" s="42" t="n">
        <v>128</v>
      </c>
      <c r="C15" s="42" t="n">
        <v>64</v>
      </c>
      <c r="D15" s="42" t="n">
        <v>256</v>
      </c>
      <c r="E15" s="42" t="n">
        <v>512</v>
      </c>
      <c r="F15" s="42" t="n">
        <v>128</v>
      </c>
      <c r="G15" s="6" t="s">
        <v>166</v>
      </c>
    </row>
    <row r="16" customFormat="false" ht="17.15" hidden="false" customHeight="false" outlineLevel="0" collapsed="false">
      <c r="A16" s="30" t="s">
        <v>167</v>
      </c>
      <c r="B16" s="39" t="n">
        <v>1</v>
      </c>
      <c r="C16" s="39" t="n">
        <v>1</v>
      </c>
      <c r="D16" s="39" t="n">
        <v>2</v>
      </c>
      <c r="E16" s="39" t="n">
        <v>1</v>
      </c>
      <c r="F16" s="39" t="n">
        <v>1</v>
      </c>
      <c r="G16" s="6" t="s">
        <v>168</v>
      </c>
    </row>
    <row r="17" customFormat="false" ht="17.15" hidden="false" customHeight="false" outlineLevel="0" collapsed="false">
      <c r="A17" s="30" t="s">
        <v>169</v>
      </c>
      <c r="B17" s="39" t="n">
        <v>1</v>
      </c>
      <c r="C17" s="39" t="n">
        <v>1</v>
      </c>
      <c r="D17" s="39" t="n">
        <v>1</v>
      </c>
      <c r="E17" s="39" t="n">
        <v>0</v>
      </c>
      <c r="F17" s="39" t="n">
        <v>1</v>
      </c>
      <c r="G17" s="6" t="s">
        <v>170</v>
      </c>
    </row>
    <row r="18" customFormat="false" ht="15" hidden="false" customHeight="false" outlineLevel="0" collapsed="false">
      <c r="A18" s="52" t="s">
        <v>171</v>
      </c>
      <c r="B18" s="50"/>
      <c r="C18" s="50"/>
      <c r="D18" s="50"/>
      <c r="E18" s="50"/>
      <c r="F18" s="50"/>
      <c r="G18" s="50"/>
    </row>
    <row r="19" customFormat="false" ht="17.15" hidden="false" customHeight="false" outlineLevel="0" collapsed="false">
      <c r="A19" s="30" t="s">
        <v>159</v>
      </c>
      <c r="B19" s="42" t="n">
        <v>0</v>
      </c>
      <c r="C19" s="42" t="n">
        <v>12</v>
      </c>
      <c r="D19" s="42" t="n">
        <v>0</v>
      </c>
      <c r="E19" s="42" t="n">
        <v>25</v>
      </c>
      <c r="F19" s="42" t="n">
        <v>0</v>
      </c>
      <c r="G19" s="6" t="s">
        <v>172</v>
      </c>
    </row>
    <row r="20" customFormat="false" ht="17.15" hidden="false" customHeight="false" outlineLevel="0" collapsed="false">
      <c r="A20" s="30" t="s">
        <v>173</v>
      </c>
      <c r="B20" s="42" t="n">
        <v>0</v>
      </c>
      <c r="C20" s="42" t="n">
        <v>128</v>
      </c>
      <c r="D20" s="42" t="n">
        <v>0</v>
      </c>
      <c r="E20" s="42" t="n">
        <v>1024</v>
      </c>
      <c r="F20" s="42" t="n">
        <v>0</v>
      </c>
      <c r="G20" s="6" t="s">
        <v>174</v>
      </c>
    </row>
    <row r="21" customFormat="false" ht="17.15" hidden="false" customHeight="false" outlineLevel="0" collapsed="false">
      <c r="A21" s="30" t="s">
        <v>161</v>
      </c>
      <c r="B21" s="42" t="n">
        <v>0</v>
      </c>
      <c r="C21" s="42" t="n">
        <v>64</v>
      </c>
      <c r="D21" s="42" t="n">
        <v>0</v>
      </c>
      <c r="E21" s="42" t="n">
        <v>16</v>
      </c>
      <c r="F21" s="42" t="n">
        <v>0</v>
      </c>
      <c r="G21" s="6" t="s">
        <v>162</v>
      </c>
    </row>
    <row r="22" customFormat="false" ht="17.15" hidden="false" customHeight="false" outlineLevel="0" collapsed="false">
      <c r="A22" s="30" t="s">
        <v>163</v>
      </c>
      <c r="B22" s="42" t="n">
        <v>0</v>
      </c>
      <c r="C22" s="42" t="n">
        <v>8</v>
      </c>
      <c r="D22" s="42" t="n">
        <v>0</v>
      </c>
      <c r="E22" s="42" t="n">
        <v>8</v>
      </c>
      <c r="F22" s="42" t="n">
        <v>0</v>
      </c>
      <c r="G22" s="6" t="s">
        <v>175</v>
      </c>
    </row>
    <row r="23" customFormat="false" ht="17.15" hidden="false" customHeight="false" outlineLevel="0" collapsed="false">
      <c r="A23" s="30" t="s">
        <v>165</v>
      </c>
      <c r="B23" s="42" t="n">
        <v>0</v>
      </c>
      <c r="C23" s="42" t="n">
        <v>64</v>
      </c>
      <c r="D23" s="42" t="n">
        <v>0</v>
      </c>
      <c r="E23" s="42" t="n">
        <v>256</v>
      </c>
      <c r="F23" s="42" t="n">
        <v>0</v>
      </c>
      <c r="G23" s="6" t="s">
        <v>176</v>
      </c>
    </row>
    <row r="24" customFormat="false" ht="17.15" hidden="false" customHeight="false" outlineLevel="0" collapsed="false">
      <c r="A24" s="30" t="s">
        <v>169</v>
      </c>
      <c r="B24" s="39" t="n">
        <v>1</v>
      </c>
      <c r="C24" s="39" t="n">
        <v>1</v>
      </c>
      <c r="D24" s="39" t="n">
        <v>1</v>
      </c>
      <c r="E24" s="39" t="n">
        <v>1</v>
      </c>
      <c r="F24" s="39" t="n">
        <v>1</v>
      </c>
      <c r="G24" s="6"/>
    </row>
    <row r="25" customFormat="false" ht="15" hidden="false" customHeight="false" outlineLevel="0" collapsed="false">
      <c r="A25" s="52" t="s">
        <v>177</v>
      </c>
      <c r="B25" s="50"/>
      <c r="C25" s="50"/>
      <c r="D25" s="50"/>
      <c r="E25" s="50"/>
      <c r="F25" s="50"/>
      <c r="G25" s="50"/>
    </row>
    <row r="26" customFormat="false" ht="17.15" hidden="false" customHeight="false" outlineLevel="0" collapsed="false">
      <c r="A26" s="30" t="s">
        <v>159</v>
      </c>
      <c r="B26" s="42" t="n">
        <v>0</v>
      </c>
      <c r="C26" s="42" t="n">
        <v>0</v>
      </c>
      <c r="D26" s="42" t="n">
        <v>30</v>
      </c>
      <c r="E26" s="42" t="n">
        <v>0</v>
      </c>
      <c r="F26" s="42" t="n">
        <v>0</v>
      </c>
      <c r="G26" s="6" t="s">
        <v>178</v>
      </c>
    </row>
    <row r="27" customFormat="false" ht="17.15" hidden="false" customHeight="false" outlineLevel="0" collapsed="false">
      <c r="A27" s="30" t="s">
        <v>179</v>
      </c>
      <c r="B27" s="42" t="n">
        <v>0</v>
      </c>
      <c r="C27" s="42" t="n">
        <v>0</v>
      </c>
      <c r="D27" s="42" t="n">
        <v>16</v>
      </c>
      <c r="E27" s="42" t="n">
        <v>0</v>
      </c>
      <c r="F27" s="42" t="n">
        <v>0</v>
      </c>
      <c r="G27" s="6" t="s">
        <v>180</v>
      </c>
    </row>
    <row r="28" customFormat="false" ht="17.15" hidden="false" customHeight="false" outlineLevel="0" collapsed="false">
      <c r="A28" s="30" t="s">
        <v>181</v>
      </c>
      <c r="B28" s="42" t="n">
        <v>0</v>
      </c>
      <c r="C28" s="42" t="n">
        <v>0</v>
      </c>
      <c r="D28" s="42" t="n">
        <v>128</v>
      </c>
      <c r="E28" s="42" t="n">
        <v>0</v>
      </c>
      <c r="F28" s="42" t="n">
        <v>0</v>
      </c>
      <c r="G28" s="6" t="s">
        <v>182</v>
      </c>
    </row>
    <row r="29" customFormat="false" ht="17.15" hidden="false" customHeight="false" outlineLevel="0" collapsed="false">
      <c r="A29" s="30" t="s">
        <v>183</v>
      </c>
      <c r="B29" s="42" t="n">
        <v>0</v>
      </c>
      <c r="C29" s="42" t="n">
        <v>0</v>
      </c>
      <c r="D29" s="42" t="n">
        <v>32</v>
      </c>
      <c r="E29" s="42" t="n">
        <v>0</v>
      </c>
      <c r="F29" s="42" t="n">
        <v>0</v>
      </c>
      <c r="G29" s="6" t="s">
        <v>184</v>
      </c>
    </row>
    <row r="30" customFormat="false" ht="17.15" hidden="false" customHeight="false" outlineLevel="0" collapsed="false">
      <c r="A30" s="30" t="s">
        <v>185</v>
      </c>
      <c r="B30" s="42" t="n">
        <v>0</v>
      </c>
      <c r="C30" s="42" t="n">
        <v>0</v>
      </c>
      <c r="D30" s="42" t="n">
        <v>128</v>
      </c>
      <c r="E30" s="42" t="n">
        <v>0</v>
      </c>
      <c r="F30" s="42" t="n">
        <v>0</v>
      </c>
      <c r="G30" s="6" t="s">
        <v>186</v>
      </c>
    </row>
    <row r="31" customFormat="false" ht="17.15" hidden="false" customHeight="false" outlineLevel="0" collapsed="false">
      <c r="A31" s="30" t="s">
        <v>187</v>
      </c>
      <c r="B31" s="42" t="n">
        <v>0</v>
      </c>
      <c r="C31" s="42" t="n">
        <v>0</v>
      </c>
      <c r="D31" s="42" t="n">
        <v>4</v>
      </c>
      <c r="E31" s="42" t="n">
        <v>0</v>
      </c>
      <c r="F31" s="42" t="n">
        <v>0</v>
      </c>
      <c r="G31" s="6" t="s">
        <v>188</v>
      </c>
    </row>
    <row r="32" customFormat="false" ht="17.15" hidden="false" customHeight="false" outlineLevel="0" collapsed="false">
      <c r="A32" s="30" t="s">
        <v>189</v>
      </c>
      <c r="B32" s="42" t="n">
        <v>64</v>
      </c>
      <c r="C32" s="42" t="n">
        <v>64</v>
      </c>
      <c r="D32" s="42" t="n">
        <v>64</v>
      </c>
      <c r="E32" s="42" t="n">
        <v>64</v>
      </c>
      <c r="F32" s="42" t="n">
        <v>64</v>
      </c>
      <c r="G32" s="6" t="s">
        <v>190</v>
      </c>
    </row>
    <row r="33" customFormat="false" ht="15" hidden="false" customHeight="false" outlineLevel="0" collapsed="false">
      <c r="A33" s="52" t="s">
        <v>191</v>
      </c>
      <c r="B33" s="50"/>
      <c r="C33" s="50"/>
      <c r="D33" s="50"/>
      <c r="E33" s="50"/>
      <c r="F33" s="50"/>
      <c r="G33" s="50"/>
    </row>
    <row r="34" customFormat="false" ht="17.15" hidden="false" customHeight="false" outlineLevel="0" collapsed="false">
      <c r="A34" s="33" t="s">
        <v>192</v>
      </c>
      <c r="B34" s="42" t="n">
        <v>14336</v>
      </c>
      <c r="C34" s="42" t="n">
        <v>0</v>
      </c>
      <c r="D34" s="42" t="n">
        <v>512</v>
      </c>
      <c r="E34" s="42" t="n">
        <v>2112</v>
      </c>
      <c r="F34" s="42" t="n">
        <v>8192</v>
      </c>
      <c r="G34" s="6" t="s">
        <v>193</v>
      </c>
    </row>
    <row r="35" customFormat="false" ht="17.15" hidden="false" customHeight="false" outlineLevel="0" collapsed="false">
      <c r="A35" s="30" t="s">
        <v>194</v>
      </c>
      <c r="B35" s="42" t="n">
        <v>3</v>
      </c>
      <c r="C35" s="42" t="n">
        <v>3</v>
      </c>
      <c r="D35" s="42" t="n">
        <v>3</v>
      </c>
      <c r="E35" s="42" t="n">
        <v>3</v>
      </c>
      <c r="F35" s="42" t="n">
        <v>3</v>
      </c>
      <c r="G35" s="6" t="s">
        <v>195</v>
      </c>
    </row>
    <row r="36" customFormat="false" ht="17.15" hidden="false" customHeight="false" outlineLevel="0" collapsed="false">
      <c r="A36" s="30" t="s">
        <v>196</v>
      </c>
      <c r="B36" s="42" t="n">
        <v>0</v>
      </c>
      <c r="C36" s="42" t="n">
        <v>32</v>
      </c>
      <c r="D36" s="42" t="n">
        <v>256</v>
      </c>
      <c r="E36" s="42" t="n">
        <v>128</v>
      </c>
      <c r="F36" s="42" t="n">
        <v>0</v>
      </c>
      <c r="G36" s="6" t="s">
        <v>197</v>
      </c>
    </row>
    <row r="37" customFormat="false" ht="17.15" hidden="false" customHeight="false" outlineLevel="0" collapsed="false">
      <c r="A37" s="33" t="s">
        <v>198</v>
      </c>
      <c r="B37" s="42" t="n">
        <v>0</v>
      </c>
      <c r="C37" s="42" t="n">
        <v>4</v>
      </c>
      <c r="D37" s="42" t="n">
        <v>8</v>
      </c>
      <c r="E37" s="42" t="n">
        <v>8</v>
      </c>
      <c r="F37" s="42" t="n">
        <v>0</v>
      </c>
      <c r="G37" s="6" t="s">
        <v>199</v>
      </c>
    </row>
    <row r="38" customFormat="false" ht="17.15" hidden="false" customHeight="false" outlineLevel="0" collapsed="false">
      <c r="A38" s="30" t="s">
        <v>200</v>
      </c>
      <c r="B38" s="42" t="n">
        <v>0</v>
      </c>
      <c r="C38" s="42" t="n">
        <v>2880</v>
      </c>
      <c r="D38" s="42" t="n">
        <v>512</v>
      </c>
      <c r="E38" s="42" t="n">
        <v>704</v>
      </c>
      <c r="F38" s="42" t="n">
        <v>0</v>
      </c>
      <c r="G38" s="6" t="s">
        <v>201</v>
      </c>
    </row>
    <row r="39" customFormat="false" ht="17.15" hidden="false" customHeight="false" outlineLevel="0" collapsed="false">
      <c r="A39" s="27" t="s">
        <v>202</v>
      </c>
      <c r="B39" s="2"/>
      <c r="C39" s="2"/>
      <c r="D39" s="2"/>
      <c r="E39" s="2"/>
      <c r="F39" s="2"/>
      <c r="G39" s="2"/>
    </row>
    <row r="40" customFormat="false" ht="17.15" hidden="false" customHeight="false" outlineLevel="0" collapsed="false">
      <c r="A40" s="22" t="s">
        <v>203</v>
      </c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22" t="s">
        <v>204</v>
      </c>
      <c r="B41" s="2"/>
      <c r="C41" s="2"/>
      <c r="D41" s="2"/>
      <c r="E41" s="2"/>
      <c r="F41" s="2"/>
      <c r="G41" s="2"/>
    </row>
    <row r="42" customFormat="false" ht="17.15" hidden="false" customHeight="false" outlineLevel="0" collapsed="false">
      <c r="A42" s="22" t="s">
        <v>205</v>
      </c>
      <c r="B42" s="2"/>
      <c r="C42" s="2"/>
      <c r="D42" s="2"/>
      <c r="E42" s="2"/>
      <c r="F42" s="2"/>
      <c r="G42" s="2"/>
    </row>
    <row r="43" customFormat="false" ht="17.15" hidden="false" customHeight="false" outlineLevel="0" collapsed="false">
      <c r="A43" s="22" t="s">
        <v>206</v>
      </c>
      <c r="B43" s="2"/>
      <c r="C43" s="2"/>
      <c r="D43" s="2"/>
      <c r="E43" s="2"/>
      <c r="F43" s="2"/>
      <c r="G43" s="2"/>
    </row>
    <row r="44" customFormat="false" ht="17.15" hidden="false" customHeight="false" outlineLevel="0" collapsed="false">
      <c r="A44" s="22" t="s">
        <v>207</v>
      </c>
      <c r="B44" s="2"/>
      <c r="C44" s="2"/>
      <c r="D44" s="2"/>
      <c r="E44" s="2"/>
      <c r="F44" s="2"/>
      <c r="G44" s="2"/>
    </row>
    <row r="45" customFormat="false" ht="17.15" hidden="false" customHeight="false" outlineLevel="0" collapsed="false">
      <c r="A45" s="22" t="s">
        <v>208</v>
      </c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7.15" hidden="false" customHeight="false" outlineLevel="0" collapsed="false">
      <c r="A47" s="28" t="s">
        <v>115</v>
      </c>
      <c r="B47" s="29"/>
      <c r="C47" s="29"/>
      <c r="D47" s="29"/>
      <c r="E47" s="29"/>
      <c r="F47" s="29"/>
      <c r="G47" s="29"/>
    </row>
    <row r="48" customFormat="false" ht="17.15" hidden="false" customHeight="false" outlineLevel="0" collapsed="false">
      <c r="A48" s="30" t="s">
        <v>209</v>
      </c>
      <c r="B48" s="53" t="str">
        <f aca="false">IF(모델!$B$12+모델!$B$19+모델!$B$26=모델!$B$7,"OK","불일치")</f>
        <v>OK</v>
      </c>
      <c r="C48" s="53" t="str">
        <f aca="false">IF(모델!$C$12+모델!$C$19+모델!$C$26=모델!$C$7,"OK","불일치")</f>
        <v>OK</v>
      </c>
      <c r="D48" s="53" t="str">
        <f aca="false">IF(모델!$D$12+모델!$D$19+모델!$D$26=모델!$D$7,"OK","불일치")</f>
        <v>OK</v>
      </c>
      <c r="E48" s="53" t="str">
        <f aca="false">IF(모델!$E$12+모델!$E$19+모델!$E$26=모델!$E$7,"OK","불일치")</f>
        <v>OK</v>
      </c>
      <c r="F48" s="53" t="str">
        <f aca="false">IF(모델!$F$12+모델!$F$19+모델!$F$26=모델!$F$7,"OK","불일치")</f>
        <v>OK</v>
      </c>
      <c r="G48" s="6" t="s">
        <v>210</v>
      </c>
    </row>
    <row r="49" customFormat="false" ht="17.15" hidden="false" customHeight="false" outlineLevel="0" collapsed="false">
      <c r="A49" s="30" t="s">
        <v>211</v>
      </c>
      <c r="B49" s="45" t="n">
        <f aca="false">IF(모델!$B$36&gt;1,모델!$B$7,0)</f>
        <v>0</v>
      </c>
      <c r="C49" s="45" t="n">
        <f aca="false">IF(모델!$C$36&gt;1,모델!$C$7,0)</f>
        <v>24</v>
      </c>
      <c r="D49" s="45" t="n">
        <f aca="false">IF(모델!$D$36&gt;1,모델!$D$7,0)</f>
        <v>40</v>
      </c>
      <c r="E49" s="45" t="n">
        <f aca="false">IF(모델!$E$36&gt;1,모델!$E$7,0)</f>
        <v>30</v>
      </c>
      <c r="F49" s="45" t="n">
        <f aca="false">IF(모델!$F$36&gt;1,모델!$F$7,0)</f>
        <v>0</v>
      </c>
      <c r="G49" s="6" t="s">
        <v>212</v>
      </c>
    </row>
    <row r="50" customFormat="false" ht="17.15" hidden="false" customHeight="false" outlineLevel="0" collapsed="false">
      <c r="A50" s="30" t="s">
        <v>213</v>
      </c>
      <c r="B50" s="45" t="n">
        <f aca="false">모델!$B$8*모델!$B$13*모델!$B$15*모델!$B$16+모델!$B$8*모델!$B$14*모델!$B$15*(1+모델!$B$17)+모델!$B$13*모델!$B$15*모델!$B$8</f>
        <v>41943040</v>
      </c>
      <c r="C50" s="45" t="n">
        <f aca="false">모델!$C$8*모델!$C$13*모델!$C$15*모델!$C$16+모델!$C$8*모델!$C$14*모델!$C$15*(1+모델!$C$17)+모델!$C$13*모델!$C$15*모델!$C$8</f>
        <v>26542080</v>
      </c>
      <c r="D50" s="45" t="n">
        <f aca="false">모델!$D$8*모델!$D$13*모델!$D$15*모델!$D$16+모델!$D$8*모델!$D$14*모델!$D$15*(1+모델!$D$17)+모델!$D$13*모델!$D$15*모델!$D$8</f>
        <v>27262976</v>
      </c>
      <c r="E50" s="45" t="n">
        <f aca="false">모델!$E$8*모델!$E$13*모델!$E$15*모델!$E$16+모델!$E$8*모델!$E$14*모델!$E$15*(1+모델!$E$17)+모델!$E$13*모델!$E$15*모델!$E$8</f>
        <v>49020928</v>
      </c>
      <c r="F50" s="45" t="n">
        <f aca="false">모델!$F$8*모델!$F$13*모델!$F$15*모델!$F$16+모델!$F$8*모델!$F$14*모델!$F$15*(1+모델!$F$17)+모델!$F$13*모델!$F$15*모델!$F$8</f>
        <v>25165824</v>
      </c>
      <c r="G50" s="6"/>
    </row>
    <row r="51" customFormat="false" ht="17.15" hidden="false" customHeight="false" outlineLevel="0" collapsed="false">
      <c r="A51" s="30" t="s">
        <v>214</v>
      </c>
      <c r="B51" s="45" t="n">
        <f aca="false">모델!$B$8*모델!$B$21*모델!$B$23+모델!$B$8*모델!$B$22*모델!$B$23*(1+모델!$B$24)+모델!$B$21*모델!$B$23*모델!$B$8</f>
        <v>0</v>
      </c>
      <c r="C51" s="45" t="n">
        <f aca="false">모델!$C$8*모델!$C$21*모델!$C$23+모델!$C$8*모델!$C$22*모델!$C$23*(1+모델!$C$24)+모델!$C$21*모델!$C$23*모델!$C$8</f>
        <v>26542080</v>
      </c>
      <c r="D51" s="45" t="n">
        <f aca="false">모델!$D$8*모델!$D$21*모델!$D$23+모델!$D$8*모델!$D$22*모델!$D$23*(1+모델!$D$24)+모델!$D$21*모델!$D$23*모델!$D$8</f>
        <v>0</v>
      </c>
      <c r="E51" s="45" t="n">
        <f aca="false">모델!$E$8*모델!$E$21*모델!$E$23+모델!$E$8*모델!$E$22*모델!$E$23*(1+모델!$E$24)+모델!$E$21*모델!$E$23*모델!$E$8</f>
        <v>34603008</v>
      </c>
      <c r="F51" s="45" t="n">
        <f aca="false">모델!$F$8*모델!$F$21*모델!$F$23+모델!$F$8*모델!$F$22*모델!$F$23*(1+모델!$F$24)+모델!$F$21*모델!$F$23*모델!$F$8</f>
        <v>0</v>
      </c>
      <c r="G51" s="6"/>
    </row>
    <row r="52" customFormat="false" ht="17.15" hidden="false" customHeight="false" outlineLevel="0" collapsed="false">
      <c r="A52" s="30" t="s">
        <v>215</v>
      </c>
      <c r="B52" s="45" t="n">
        <f aca="false">2*모델!$B$27*모델!$B$28+모델!$B$29*모델!$B$30</f>
        <v>0</v>
      </c>
      <c r="C52" s="45" t="n">
        <f aca="false">2*모델!$C$27*모델!$C$28+모델!$C$29*모델!$C$30</f>
        <v>0</v>
      </c>
      <c r="D52" s="45" t="n">
        <f aca="false">2*모델!$D$27*모델!$D$28+모델!$D$29*모델!$D$30</f>
        <v>8192</v>
      </c>
      <c r="E52" s="45" t="n">
        <f aca="false">2*모델!$E$27*모델!$E$28+모델!$E$29*모델!$E$30</f>
        <v>0</v>
      </c>
      <c r="F52" s="45" t="n">
        <f aca="false">2*모델!$F$27*모델!$F$28+모델!$F$29*모델!$F$30</f>
        <v>0</v>
      </c>
      <c r="G52" s="6" t="s">
        <v>216</v>
      </c>
    </row>
    <row r="53" customFormat="false" ht="17.15" hidden="false" customHeight="false" outlineLevel="0" collapsed="false">
      <c r="A53" s="30" t="s">
        <v>217</v>
      </c>
      <c r="B53" s="45" t="n">
        <f aca="false">모델!$B$8*(모델!$B$52+모델!$B$29*모델!$B$30+2*모델!$B$29)+모델!$B$29*모델!$B$30*모델!$B$8</f>
        <v>0</v>
      </c>
      <c r="C53" s="45" t="n">
        <f aca="false">모델!$C$8*(모델!$C$52+모델!$C$29*모델!$C$30+2*모델!$C$29)+모델!$C$29*모델!$C$30*모델!$C$8</f>
        <v>0</v>
      </c>
      <c r="D53" s="45" t="n">
        <f aca="false">모델!$D$8*(모델!$D$52+모델!$D$29*모델!$D$30+2*모델!$D$29)+모델!$D$29*모델!$D$30*모델!$D$8</f>
        <v>33685504</v>
      </c>
      <c r="E53" s="45" t="n">
        <f aca="false">모델!$E$8*(모델!$E$52+모델!$E$29*모델!$E$30+2*모델!$E$29)+모델!$E$29*모델!$E$30*모델!$E$8</f>
        <v>0</v>
      </c>
      <c r="F53" s="45" t="n">
        <f aca="false">모델!$F$8*(모델!$F$52+모델!$F$29*모델!$F$30+2*모델!$F$29)+모델!$F$29*모델!$F$30*모델!$F$8</f>
        <v>0</v>
      </c>
      <c r="G53" s="6" t="s">
        <v>218</v>
      </c>
    </row>
    <row r="54" customFormat="false" ht="17.15" hidden="false" customHeight="false" outlineLevel="0" collapsed="false">
      <c r="A54" s="33" t="s">
        <v>219</v>
      </c>
      <c r="B54" s="45" t="n">
        <f aca="false">모델!$B$35*모델!$B$8*모델!$B$34</f>
        <v>176160768</v>
      </c>
      <c r="C54" s="45" t="n">
        <f aca="false">모델!$C$35*모델!$C$8*모델!$C$34</f>
        <v>0</v>
      </c>
      <c r="D54" s="45" t="n">
        <f aca="false">모델!$D$35*모델!$D$8*모델!$D$34</f>
        <v>3145728</v>
      </c>
      <c r="E54" s="45" t="n">
        <f aca="false">모델!$E$35*모델!$E$8*모델!$E$34</f>
        <v>17842176</v>
      </c>
      <c r="F54" s="45" t="n">
        <f aca="false">모델!$F$35*모델!$F$8*모델!$F$34</f>
        <v>75497472</v>
      </c>
      <c r="G54" s="6"/>
    </row>
    <row r="55" customFormat="false" ht="17.15" hidden="false" customHeight="false" outlineLevel="0" collapsed="false">
      <c r="A55" s="30" t="s">
        <v>220</v>
      </c>
      <c r="B55" s="45" t="n">
        <f aca="false">모델!$B$35*모델!$B$8*모델!$B$38</f>
        <v>0</v>
      </c>
      <c r="C55" s="45" t="n">
        <f aca="false">모델!$C$35*모델!$C$8*모델!$C$38</f>
        <v>24883200</v>
      </c>
      <c r="D55" s="45" t="n">
        <f aca="false">모델!$D$35*모델!$D$8*모델!$D$38</f>
        <v>3145728</v>
      </c>
      <c r="E55" s="45" t="n">
        <f aca="false">모델!$E$35*모델!$E$8*모델!$E$38</f>
        <v>5947392</v>
      </c>
      <c r="F55" s="45" t="n">
        <f aca="false">모델!$F$35*모델!$F$8*모델!$F$38</f>
        <v>0</v>
      </c>
      <c r="G55" s="6"/>
    </row>
    <row r="56" customFormat="false" ht="17.15" hidden="false" customHeight="false" outlineLevel="0" collapsed="false">
      <c r="A56" s="30" t="s">
        <v>221</v>
      </c>
      <c r="B56" s="45" t="n">
        <f aca="false">IF(모델!$B$36&gt;1,모델!$B$8*모델!$B$36,0)</f>
        <v>0</v>
      </c>
      <c r="C56" s="45" t="n">
        <f aca="false">IF(모델!$C$36&gt;1,모델!$C$8*모델!$C$36,0)</f>
        <v>92160</v>
      </c>
      <c r="D56" s="45" t="n">
        <f aca="false">IF(모델!$D$36&gt;1,모델!$D$8*모델!$D$36,0)</f>
        <v>524288</v>
      </c>
      <c r="E56" s="45" t="n">
        <f aca="false">IF(모델!$E$36&gt;1,모델!$E$8*모델!$E$36,0)</f>
        <v>360448</v>
      </c>
      <c r="F56" s="45" t="n">
        <f aca="false">IF(모델!$F$36&gt;1,모델!$F$8*모델!$F$36,0)</f>
        <v>0</v>
      </c>
      <c r="G56" s="6"/>
    </row>
    <row r="57" customFormat="false" ht="17.15" hidden="false" customHeight="false" outlineLevel="0" collapsed="false">
      <c r="A57" s="30" t="s">
        <v>222</v>
      </c>
      <c r="B57" s="45" t="n">
        <f aca="false">모델!$B$9*모델!$B$8</f>
        <v>525336576</v>
      </c>
      <c r="C57" s="45" t="n">
        <f aca="false">모델!$C$9*모델!$C$8</f>
        <v>579133440</v>
      </c>
      <c r="D57" s="45" t="n">
        <f aca="false">모델!$D$9*모델!$D$8</f>
        <v>508559360</v>
      </c>
      <c r="E57" s="45" t="n">
        <f aca="false">모델!$E$9*모델!$E$8</f>
        <v>738197504</v>
      </c>
      <c r="F57" s="45" t="n">
        <f aca="false">모델!$F$9*모델!$F$8</f>
        <v>394002432</v>
      </c>
      <c r="G57" s="6"/>
    </row>
    <row r="58" customFormat="false" ht="17.15" hidden="false" customHeight="false" outlineLevel="0" collapsed="false">
      <c r="A58" s="33" t="s">
        <v>223</v>
      </c>
      <c r="B58" s="45" t="n">
        <f aca="false">IF(모델!$B$10=1,0,모델!$B$9*모델!$B$8)</f>
        <v>525336576</v>
      </c>
      <c r="C58" s="45" t="n">
        <f aca="false">IF(모델!$C$10=1,0,모델!$C$9*모델!$C$8)</f>
        <v>579133440</v>
      </c>
      <c r="D58" s="45" t="n">
        <f aca="false">IF(모델!$D$10=1,0,모델!$D$9*모델!$D$8)</f>
        <v>508559360</v>
      </c>
      <c r="E58" s="45" t="n">
        <f aca="false">IF(모델!$E$10=1,0,모델!$E$9*모델!$E$8)</f>
        <v>0</v>
      </c>
      <c r="F58" s="45" t="n">
        <f aca="false">IF(모델!$F$10=1,0,모델!$F$9*모델!$F$8)</f>
        <v>0</v>
      </c>
      <c r="G58" s="32" t="s">
        <v>224</v>
      </c>
    </row>
    <row r="59" customFormat="false" ht="17.15" hidden="false" customHeight="false" outlineLevel="0" collapsed="false">
      <c r="A59" s="33" t="s">
        <v>225</v>
      </c>
      <c r="B59" s="46" t="n">
        <f aca="false">(모델!$B$12*모델!$B$50+모델!$B$19*모델!$B$51+모델!$B$26*모델!$B$53+모델!$B$7*(모델!$B$54+모델!$B$36*모델!$B$55+모델!$B$56)+모델!$B$57+모델!$B$58)/1000000000</f>
        <v>8.029995008</v>
      </c>
      <c r="C59" s="46" t="n">
        <f aca="false">(모델!$C$12*모델!$C$50+모델!$C$19*모델!$C$51+모델!$C$26*모델!$C$53+모델!$C$7*(모델!$C$54+모델!$C$36*모델!$C$55+모델!$C$56)+모델!$C$57+모델!$C$58)/1000000000</f>
        <v>20.90778624</v>
      </c>
      <c r="D59" s="46" t="n">
        <f aca="false">(모델!$D$12*모델!$D$50+모델!$D$19*모델!$D$51+모델!$D$26*모델!$D$53+모델!$D$7*(모델!$D$54+모델!$D$36*모델!$D$55+모델!$D$56)+모델!$D$57+모델!$D$58)/1000000000</f>
        <v>34.65936896</v>
      </c>
      <c r="E59" s="46" t="n">
        <f aca="false">(모델!$E$12*모델!$E$50+모델!$E$19*모델!$E$51+모델!$E$26*모델!$E$53+모델!$E$7*(모델!$E$54+모델!$E$36*모델!$E$55+모델!$E$56)+모델!$E$57+모델!$E$58)/1000000000</f>
        <v>25.232441344</v>
      </c>
      <c r="F59" s="46" t="n">
        <f aca="false">(모델!$F$12*모델!$F$50+모델!$F$19*모델!$F$51+모델!$F$26*모델!$F$53+모델!$F$7*(모델!$F$54+모델!$F$36*모델!$F$55+모델!$F$56)+모델!$F$57+모델!$F$58)/1000000000</f>
        <v>3.21257472</v>
      </c>
      <c r="G59" s="32" t="s">
        <v>226</v>
      </c>
    </row>
    <row r="60" customFormat="false" ht="17.15" hidden="false" customHeight="false" outlineLevel="0" collapsed="false">
      <c r="A60" s="33" t="s">
        <v>227</v>
      </c>
      <c r="B60" s="46" t="n">
        <f aca="false">(모델!$B$12*모델!$B$50+모델!$B$19*모델!$B$51+모델!$B$26*모델!$B$53+모델!$B$7*(모델!$B$54+모델!$B$37*모델!$B$55+모델!$B$56)+모델!$B$57)/1000000000</f>
        <v>7.504658432</v>
      </c>
      <c r="C60" s="46" t="n">
        <f aca="false">(모델!$C$12*모델!$C$50+모델!$C$19*모델!$C$51+모델!$C$26*모델!$C$53+모델!$C$7*(모델!$C$54+모델!$C$37*모델!$C$55+모델!$C$56)+모델!$C$57)/1000000000</f>
        <v>3.6071424</v>
      </c>
      <c r="D60" s="46" t="n">
        <f aca="false">(모델!$D$12*모델!$D$50+모델!$D$19*모델!$D$51+모델!$D$26*모델!$D$53+모델!$D$7*(모델!$D$54+모델!$D$37*모델!$D$55+모델!$D$56)+모델!$D$57)/1000000000</f>
        <v>2.94518784</v>
      </c>
      <c r="E60" s="46" t="n">
        <f aca="false">(모델!$E$12*모델!$E$50+모델!$E$19*모델!$E$51+모델!$E$26*모델!$E$53+모델!$E$7*(모델!$E$54+모델!$E$37*모델!$E$55+모델!$E$56)+모델!$E$57)/1000000000</f>
        <v>3.821830144</v>
      </c>
      <c r="F60" s="46" t="n">
        <f aca="false">(모델!$F$12*모델!$F$50+모델!$F$19*모델!$F$51+모델!$F$26*모델!$F$53+모델!$F$7*(모델!$F$54+모델!$F$37*모델!$F$55+모델!$F$56)+모델!$F$57)/1000000000</f>
        <v>3.21257472</v>
      </c>
      <c r="G60" s="32" t="s">
        <v>228</v>
      </c>
    </row>
    <row r="61" customFormat="false" ht="17.15" hidden="false" customHeight="false" outlineLevel="0" collapsed="false">
      <c r="A61" s="33" t="s">
        <v>229</v>
      </c>
      <c r="B61" s="46" t="n">
        <f aca="false">(모델!$B$12*모델!$B$50*(설정!$B$27/8+IF(설정!$C$27=0,설정!$D$27/8/MAX(1,모델!$B$8),설정!$D$27/8/설정!$C$27))+모델!$B$19*모델!$B$51*(설정!$B$27/8+IF(설정!$C$27=0,설정!$D$27/8/MAX(1,모델!$B$8),설정!$D$27/8/설정!$C$27))+모델!$B$26*모델!$B$53*(설정!$B$28/8+IF(설정!$C$28=0,설정!$D$28/8/MAX(1,모델!$B$8),설정!$D$28/8/설정!$C$28))+모델!$B$7*((모델!$B$54+모델!$B$36*모델!$B$55)*(설정!$B$29/8+IF(설정!$C$29=0,설정!$D$29/8/MAX(1,모델!$B$8),설정!$D$29/8/설정!$C$29))+모델!$B$56*(설정!$B$30/8+IF(설정!$C$30=0,설정!$D$30/8/MAX(1,모델!$B$8),설정!$D$30/8/설정!$C$30)))+모델!$B$57*(설정!$B$31/8+IF(설정!$C$31=0,설정!$D$31/8/MAX(1,모델!$B$8),설정!$D$31/8/설정!$C$31))+모델!$B$58*(설정!$B$32/8+IF(설정!$C$32=0,설정!$D$32/8/MAX(1,모델!$B$8),설정!$D$32/8/설정!$C$32)))/1000000000</f>
        <v>4.140466176</v>
      </c>
      <c r="C61" s="46" t="n">
        <f aca="false">(모델!$C$12*모델!$C$50*(설정!$B$27/8+IF(설정!$C$27=0,설정!$D$27/8/MAX(1,모델!$C$8),설정!$D$27/8/설정!$C$27))+모델!$C$19*모델!$C$51*(설정!$B$27/8+IF(설정!$C$27=0,설정!$D$27/8/MAX(1,모델!$C$8),설정!$D$27/8/설정!$C$27))+모델!$C$26*모델!$C$53*(설정!$B$28/8+IF(설정!$C$28=0,설정!$D$28/8/MAX(1,모델!$C$8),설정!$D$28/8/설정!$C$28))+모델!$C$7*((모델!$C$54+모델!$C$36*모델!$C$55)*(설정!$B$29/8+IF(설정!$C$29=0,설정!$D$29/8/MAX(1,모델!$C$8),설정!$D$29/8/설정!$C$29))+모델!$C$56*(설정!$B$30/8+IF(설정!$C$30=0,설정!$D$30/8/MAX(1,모델!$C$8),설정!$D$30/8/설정!$C$30)))+모델!$C$57*(설정!$B$31/8+IF(설정!$C$31=0,설정!$D$31/8/MAX(1,모델!$C$8),설정!$D$31/8/설정!$C$31))+모델!$C$58*(설정!$B$32/8+IF(설정!$C$32=0,설정!$D$32/8/MAX(1,모델!$C$8),설정!$D$32/8/설정!$C$32)))/1000000000</f>
        <v>10.7816832</v>
      </c>
      <c r="D61" s="46" t="n">
        <f aca="false">(모델!$D$12*모델!$D$50*(설정!$B$27/8+IF(설정!$C$27=0,설정!$D$27/8/MAX(1,모델!$D$8),설정!$D$27/8/설정!$C$27))+모델!$D$19*모델!$D$51*(설정!$B$27/8+IF(설정!$C$27=0,설정!$D$27/8/MAX(1,모델!$D$8),설정!$D$27/8/설정!$C$27))+모델!$D$26*모델!$D$53*(설정!$B$28/8+IF(설정!$C$28=0,설정!$D$28/8/MAX(1,모델!$D$8),설정!$D$28/8/설정!$C$28))+모델!$D$7*((모델!$D$54+모델!$D$36*모델!$D$55)*(설정!$B$29/8+IF(설정!$C$29=0,설정!$D$29/8/MAX(1,모델!$D$8),설정!$D$29/8/설정!$C$29))+모델!$D$56*(설정!$B$30/8+IF(설정!$C$30=0,설정!$D$30/8/MAX(1,모델!$D$8),설정!$D$30/8/설정!$C$30)))+모델!$D$57*(설정!$B$31/8+IF(설정!$C$31=0,설정!$D$31/8/MAX(1,모델!$D$8),설정!$D$31/8/설정!$C$31))+모델!$D$58*(설정!$B$32/8+IF(설정!$C$32=0,설정!$D$32/8/MAX(1,모델!$D$8),설정!$D$32/8/설정!$C$32)))/1000000000</f>
        <v>17.88172288</v>
      </c>
      <c r="E61" s="46" t="n">
        <f aca="false">(모델!$E$12*모델!$E$50*(설정!$B$27/8+IF(설정!$C$27=0,설정!$D$27/8/MAX(1,모델!$E$8),설정!$D$27/8/설정!$C$27))+모델!$E$19*모델!$E$51*(설정!$B$27/8+IF(설정!$C$27=0,설정!$D$27/8/MAX(1,모델!$E$8),설정!$D$27/8/설정!$C$27))+모델!$E$26*모델!$E$53*(설정!$B$28/8+IF(설정!$C$28=0,설정!$D$28/8/MAX(1,모델!$E$8),설정!$D$28/8/설정!$C$28))+모델!$E$7*((모델!$E$54+모델!$E$36*모델!$E$55)*(설정!$B$29/8+IF(설정!$C$29=0,설정!$D$29/8/MAX(1,모델!$E$8),설정!$D$29/8/설정!$C$29))+모델!$E$56*(설정!$B$30/8+IF(설정!$C$30=0,설정!$D$30/8/MAX(1,모델!$E$8),설정!$D$30/8/설정!$C$30)))+모델!$E$57*(설정!$B$31/8+IF(설정!$C$31=0,설정!$D$31/8/MAX(1,모델!$E$8),설정!$D$31/8/설정!$C$31))+모델!$E$58*(설정!$B$32/8+IF(설정!$C$32=0,설정!$D$32/8/MAX(1,모델!$E$8),설정!$D$32/8/설정!$C$32)))/1000000000</f>
        <v>13.015884288</v>
      </c>
      <c r="F61" s="46" t="n">
        <f aca="false">(모델!$F$12*모델!$F$50*(설정!$B$27/8+IF(설정!$C$27=0,설정!$D$27/8/MAX(1,모델!$F$8),설정!$D$27/8/설정!$C$27))+모델!$F$19*모델!$F$51*(설정!$B$27/8+IF(설정!$C$27=0,설정!$D$27/8/MAX(1,모델!$F$8),설정!$D$27/8/설정!$C$27))+모델!$F$26*모델!$F$53*(설정!$B$28/8+IF(설정!$C$28=0,설정!$D$28/8/MAX(1,모델!$F$8),설정!$D$28/8/설정!$C$28))+모델!$F$7*((모델!$F$54+모델!$F$36*모델!$F$55)*(설정!$B$29/8+IF(설정!$C$29=0,설정!$D$29/8/MAX(1,모델!$F$8),설정!$D$29/8/설정!$C$29))+모델!$F$56*(설정!$B$30/8+IF(설정!$C$30=0,설정!$D$30/8/MAX(1,모델!$F$8),설정!$D$30/8/설정!$C$30)))+모델!$F$57*(설정!$B$31/8+IF(설정!$C$31=0,설정!$D$31/8/MAX(1,모델!$F$8),설정!$D$31/8/설정!$C$31))+모델!$F$58*(설정!$B$32/8+IF(설정!$C$32=0,설정!$D$32/8/MAX(1,모델!$F$8),설정!$D$32/8/설정!$C$32)))/1000000000</f>
        <v>1.65648384</v>
      </c>
      <c r="G61" s="32" t="s">
        <v>230</v>
      </c>
    </row>
    <row r="62" customFormat="false" ht="17.15" hidden="false" customHeight="false" outlineLevel="0" collapsed="false">
      <c r="A62" s="30" t="s">
        <v>231</v>
      </c>
      <c r="B62" s="54" t="n">
        <f aca="false">(모델!$B$12*2*모델!$B$14*모델!$B$15*설정!$B$58*설정!$H$54+모델!$B$19*2*모델!$B$22*모델!$B$23*설정!$B$58*MIN(설정!$H$54,모델!$B$20)+모델!$B$26*(모델!$B$29*모델!$B$28*모델!$B$30*설정!$B$59+MAX(0,모델!$B$31-1)*모델!$B$52*설정!$B$57))/1024/1024</f>
        <v>512</v>
      </c>
      <c r="C62" s="54" t="n">
        <f aca="false">(모델!$C$12*2*모델!$C$14*모델!$C$15*설정!$B$58*설정!$H$54+모델!$C$19*2*모델!$C$22*모델!$C$23*설정!$B$58*MIN(설정!$H$54,모델!$C$20)+모델!$C$26*(모델!$C$29*모델!$C$28*모델!$C$30*설정!$B$59+MAX(0,모델!$C$31-1)*모델!$C$52*설정!$B$57))/1024/1024</f>
        <v>97.5</v>
      </c>
      <c r="D62" s="54" t="n">
        <f aca="false">(모델!$D$12*2*모델!$D$14*모델!$D$15*설정!$B$58*설정!$H$54+모델!$D$19*2*모델!$D$22*모델!$D$23*설정!$B$58*MIN(설정!$H$54,모델!$D$20)+모델!$D$26*(모델!$D$29*모델!$D$28*모델!$D$30*설정!$B$59+MAX(0,모델!$D$31-1)*모델!$D$52*설정!$B$57))/1024/1024</f>
        <v>140.703125</v>
      </c>
      <c r="E62" s="54" t="n">
        <f aca="false">(모델!$E$12*2*모델!$E$14*모델!$E$15*설정!$B$58*설정!$H$54+모델!$E$19*2*모델!$E$22*모델!$E$23*설정!$B$58*MIN(설정!$H$54,모델!$E$20)+모델!$E$26*(모델!$E$29*모델!$E$28*모델!$E$30*설정!$B$59+MAX(0,모델!$E$31-1)*모델!$E$52*설정!$B$57))/1024/1024</f>
        <v>180</v>
      </c>
      <c r="F62" s="54" t="n">
        <f aca="false">(모델!$F$12*2*모델!$F$14*모델!$F$15*설정!$B$58*설정!$H$54+모델!$F$19*2*모델!$F$22*모델!$F$23*설정!$B$58*MIN(설정!$H$54,모델!$F$20)+모델!$F$26*(모델!$F$29*모델!$F$28*모델!$F$30*설정!$B$59+MAX(0,모델!$F$31-1)*모델!$F$52*설정!$B$57))/1024/1024</f>
        <v>448</v>
      </c>
      <c r="G62" s="6" t="s">
        <v>232</v>
      </c>
    </row>
    <row r="63" customFormat="false" ht="17.15" hidden="false" customHeight="false" outlineLevel="0" collapsed="false">
      <c r="A63" s="30" t="s">
        <v>233</v>
      </c>
      <c r="B63" s="46" t="n">
        <f aca="false">모델!$B$29*모델!$B$28*모델!$B$30*설정!$B$59/1024/1024</f>
        <v>0</v>
      </c>
      <c r="C63" s="46" t="n">
        <f aca="false">모델!$C$29*모델!$C$28*모델!$C$30*설정!$B$59/1024/1024</f>
        <v>0</v>
      </c>
      <c r="D63" s="46" t="n">
        <f aca="false">모델!$D$29*모델!$D$28*모델!$D$30*설정!$B$59/1024/1024</f>
        <v>2</v>
      </c>
      <c r="E63" s="46" t="n">
        <f aca="false">모델!$E$29*모델!$E$28*모델!$E$30*설정!$B$59/1024/1024</f>
        <v>0</v>
      </c>
      <c r="F63" s="46" t="n">
        <f aca="false">모델!$F$29*모델!$F$28*모델!$F$30*설정!$B$59/1024/1024</f>
        <v>0</v>
      </c>
      <c r="G63" s="32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2"/>
  </cols>
  <sheetData>
    <row r="1" customFormat="false" ht="21.6" hidden="false" customHeight="false" outlineLevel="0" collapsed="false">
      <c r="A1" s="26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1.5" hidden="false" customHeight="true" outlineLevel="0" collapsed="false">
      <c r="A2" s="55" t="s">
        <v>236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customFormat="false" ht="15" hidden="false" customHeight="false" outlineLevel="0" collapsed="false">
      <c r="A3" s="3" t="s">
        <v>237</v>
      </c>
      <c r="B3" s="4" t="str">
        <f aca="false">설정!$B$47</f>
        <v>균등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7.15" hidden="false" customHeight="false" outlineLevel="0" collapsed="false">
      <c r="A5" s="7" t="s">
        <v>238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30" hidden="false" customHeight="true" outlineLevel="0" collapsed="false">
      <c r="A6" s="8" t="s">
        <v>13</v>
      </c>
      <c r="B6" s="18" t="str">
        <f aca="false">모델!B6</f>
        <v>Llama 3.1 8B Instruct</v>
      </c>
      <c r="C6" s="18" t="str">
        <f aca="false">모델!C6</f>
        <v>gpt-oss-20b</v>
      </c>
      <c r="D6" s="18" t="str">
        <f aca="false">모델!D6</f>
        <v>Qwen3.6-35B-A3B</v>
      </c>
      <c r="E6" s="18" t="str">
        <f aca="false">모델!E6</f>
        <v>Gemma 4 26B-A4B</v>
      </c>
      <c r="F6" s="18" t="str">
        <f aca="false">모델!F6</f>
        <v>Llama 3.2 3B Instruct</v>
      </c>
      <c r="G6" s="2"/>
      <c r="H6" s="2"/>
      <c r="I6" s="2"/>
      <c r="J6" s="2"/>
      <c r="K6" s="2"/>
    </row>
    <row r="7" customFormat="false" ht="15" hidden="false" customHeight="false" outlineLevel="0" collapsed="false">
      <c r="A7" s="20" t="n">
        <f aca="false">설정!$B$54</f>
        <v>128</v>
      </c>
      <c r="B7" s="56"/>
      <c r="C7" s="56"/>
      <c r="D7" s="56"/>
      <c r="E7" s="56"/>
      <c r="F7" s="56"/>
      <c r="G7" s="2"/>
      <c r="H7" s="2"/>
      <c r="I7" s="2"/>
      <c r="J7" s="2"/>
      <c r="K7" s="2"/>
    </row>
    <row r="8" customFormat="false" ht="15" hidden="false" customHeight="false" outlineLevel="0" collapsed="false">
      <c r="A8" s="20" t="n">
        <f aca="false">설정!$C$54</f>
        <v>256</v>
      </c>
      <c r="B8" s="56"/>
      <c r="C8" s="56"/>
      <c r="D8" s="56"/>
      <c r="E8" s="56"/>
      <c r="F8" s="56"/>
      <c r="G8" s="2"/>
      <c r="H8" s="2"/>
      <c r="I8" s="2"/>
      <c r="J8" s="2"/>
      <c r="K8" s="2"/>
    </row>
    <row r="9" customFormat="false" ht="15" hidden="false" customHeight="false" outlineLevel="0" collapsed="false">
      <c r="A9" s="20" t="n">
        <f aca="false">설정!$D$54</f>
        <v>512</v>
      </c>
      <c r="B9" s="56"/>
      <c r="C9" s="56"/>
      <c r="D9" s="56"/>
      <c r="E9" s="56"/>
      <c r="F9" s="56"/>
      <c r="G9" s="2"/>
      <c r="H9" s="2"/>
      <c r="I9" s="2"/>
      <c r="J9" s="2"/>
      <c r="K9" s="2"/>
    </row>
    <row r="10" customFormat="false" ht="15" hidden="false" customHeight="false" outlineLevel="0" collapsed="false">
      <c r="A10" s="20" t="n">
        <f aca="false">설정!$E$54</f>
        <v>1024</v>
      </c>
      <c r="B10" s="56"/>
      <c r="C10" s="56"/>
      <c r="D10" s="56"/>
      <c r="E10" s="56"/>
      <c r="F10" s="56"/>
      <c r="G10" s="2"/>
      <c r="H10" s="2"/>
      <c r="I10" s="2"/>
      <c r="J10" s="2"/>
      <c r="K10" s="2"/>
    </row>
    <row r="11" customFormat="false" ht="15" hidden="false" customHeight="false" outlineLevel="0" collapsed="false">
      <c r="A11" s="20" t="n">
        <f aca="false">설정!$F$54</f>
        <v>2048</v>
      </c>
      <c r="B11" s="56"/>
      <c r="C11" s="56"/>
      <c r="D11" s="56"/>
      <c r="E11" s="56"/>
      <c r="F11" s="56"/>
      <c r="G11" s="2"/>
      <c r="H11" s="2"/>
      <c r="I11" s="2"/>
      <c r="J11" s="2"/>
      <c r="K11" s="2"/>
    </row>
    <row r="12" customFormat="false" ht="15" hidden="false" customHeight="false" outlineLevel="0" collapsed="false">
      <c r="A12" s="20" t="n">
        <f aca="false">설정!$G$54</f>
        <v>4096</v>
      </c>
      <c r="B12" s="56"/>
      <c r="C12" s="56"/>
      <c r="D12" s="56"/>
      <c r="E12" s="56"/>
      <c r="F12" s="56"/>
      <c r="G12" s="2"/>
      <c r="H12" s="2"/>
      <c r="I12" s="2"/>
      <c r="J12" s="2"/>
      <c r="K12" s="2"/>
    </row>
    <row r="13" customFormat="false" ht="15" hidden="false" customHeight="false" outlineLevel="0" collapsed="false">
      <c r="A13" s="20" t="n">
        <f aca="false">설정!$H$54</f>
        <v>8192</v>
      </c>
      <c r="B13" s="56"/>
      <c r="C13" s="56"/>
      <c r="D13" s="56"/>
      <c r="E13" s="56"/>
      <c r="F13" s="56"/>
      <c r="G13" s="2"/>
      <c r="H13" s="2"/>
      <c r="I13" s="2"/>
      <c r="J13" s="2"/>
      <c r="K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7.15" hidden="false" customHeight="false" outlineLevel="0" collapsed="false">
      <c r="A15" s="7" t="s">
        <v>239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30" hidden="false" customHeight="true" outlineLevel="0" collapsed="false">
      <c r="A16" s="8" t="s">
        <v>13</v>
      </c>
      <c r="B16" s="18" t="str">
        <f aca="false">모델!B6</f>
        <v>Llama 3.1 8B Instruct</v>
      </c>
      <c r="C16" s="18" t="str">
        <f aca="false">모델!C6</f>
        <v>gpt-oss-20b</v>
      </c>
      <c r="D16" s="18" t="str">
        <f aca="false">모델!D6</f>
        <v>Qwen3.6-35B-A3B</v>
      </c>
      <c r="E16" s="18" t="str">
        <f aca="false">모델!E6</f>
        <v>Gemma 4 26B-A4B</v>
      </c>
      <c r="F16" s="18" t="str">
        <f aca="false">모델!F6</f>
        <v>Llama 3.2 3B Instruct</v>
      </c>
      <c r="G16" s="2"/>
      <c r="H16" s="2"/>
      <c r="I16" s="2"/>
      <c r="J16" s="2"/>
      <c r="K16" s="2"/>
    </row>
    <row r="17" customFormat="false" ht="15" hidden="false" customHeight="false" outlineLevel="0" collapsed="false">
      <c r="A17" s="20" t="n">
        <f aca="false">설정!$B$54</f>
        <v>128</v>
      </c>
      <c r="B17" s="57" t="n">
        <f aca="false">IF(모델!$B$36&gt;1,모델!$B$36*(1-EXP(MAX(-700,설정!$B$54*LN(1-MIN(모델!$B$37/모델!$B$36,0.999999))))),0)</f>
        <v>0</v>
      </c>
      <c r="C17" s="57" t="n">
        <f aca="false">IF(모델!$C$36&gt;1,모델!$C$36*(1-EXP(MAX(-700,설정!$B$54*LN(1-MIN(모델!$C$37/모델!$C$36,0.999999))))),0)</f>
        <v>31.9999987916833</v>
      </c>
      <c r="D17" s="57" t="n">
        <f aca="false">IF(모델!$D$36&gt;1,모델!$D$36*(1-EXP(MAX(-700,설정!$B$54*LN(1-MIN(모델!$D$37/모델!$D$36,0.999999))))),0)</f>
        <v>251.601145965871</v>
      </c>
      <c r="E17" s="57" t="n">
        <f aca="false">IF(모델!$E$36&gt;1,모델!$E$36*(1-EXP(MAX(-700,설정!$B$54*LN(1-MIN(모델!$E$37/모델!$E$36,0.999999))))),0)</f>
        <v>127.966922448916</v>
      </c>
      <c r="F17" s="57" t="n">
        <f aca="false">IF(모델!$F$36&gt;1,모델!$F$36*(1-EXP(MAX(-700,설정!$B$54*LN(1-MIN(모델!$F$37/모델!$F$36,0.999999))))),0)</f>
        <v>0</v>
      </c>
      <c r="G17" s="2"/>
      <c r="H17" s="2"/>
      <c r="I17" s="2"/>
      <c r="J17" s="2"/>
      <c r="K17" s="2"/>
    </row>
    <row r="18" customFormat="false" ht="15" hidden="false" customHeight="false" outlineLevel="0" collapsed="false">
      <c r="A18" s="20" t="n">
        <f aca="false">설정!$C$54</f>
        <v>256</v>
      </c>
      <c r="B18" s="57" t="n">
        <f aca="false">IF(모델!$B$36&gt;1,모델!$B$36*(1-EXP(MAX(-700,설정!$C$54*LN(1-MIN(모델!$B$37/모델!$B$36,0.999999))))),0)</f>
        <v>0</v>
      </c>
      <c r="C18" s="57" t="n">
        <f aca="false">IF(모델!$C$36&gt;1,모델!$C$36*(1-EXP(MAX(-700,설정!$C$54*LN(1-MIN(모델!$C$37/모델!$C$36,0.999999))))),0)</f>
        <v>32</v>
      </c>
      <c r="D18" s="57" t="n">
        <f aca="false">IF(모델!$D$36&gt;1,모델!$D$36*(1-EXP(MAX(-700,설정!$C$54*LN(1-MIN(모델!$D$37/모델!$D$36,0.999999))))),0)</f>
        <v>255.924414387447</v>
      </c>
      <c r="E18" s="57" t="n">
        <f aca="false">IF(모델!$E$36&gt;1,모델!$E$36*(1-EXP(MAX(-700,설정!$C$54*LN(1-MIN(모델!$E$37/모델!$E$36,0.999999))))),0)</f>
        <v>127.999991452153</v>
      </c>
      <c r="F18" s="57" t="n">
        <f aca="false">IF(모델!$F$36&gt;1,모델!$F$36*(1-EXP(MAX(-700,설정!$C$54*LN(1-MIN(모델!$F$37/모델!$F$36,0.999999))))),0)</f>
        <v>0</v>
      </c>
      <c r="G18" s="2"/>
      <c r="H18" s="2"/>
      <c r="I18" s="2"/>
      <c r="J18" s="2"/>
      <c r="K18" s="2"/>
    </row>
    <row r="19" customFormat="false" ht="15" hidden="false" customHeight="false" outlineLevel="0" collapsed="false">
      <c r="A19" s="20" t="n">
        <f aca="false">설정!$D$54</f>
        <v>512</v>
      </c>
      <c r="B19" s="57" t="n">
        <f aca="false">IF(모델!$B$36&gt;1,모델!$B$36*(1-EXP(MAX(-700,설정!$D$54*LN(1-MIN(모델!$B$37/모델!$B$36,0.999999))))),0)</f>
        <v>0</v>
      </c>
      <c r="C19" s="57" t="n">
        <f aca="false">IF(모델!$C$36&gt;1,모델!$C$36*(1-EXP(MAX(-700,설정!$D$54*LN(1-MIN(모델!$C$37/모델!$C$36,0.999999))))),0)</f>
        <v>32</v>
      </c>
      <c r="D19" s="57" t="n">
        <f aca="false">IF(모델!$D$36&gt;1,모델!$D$36*(1-EXP(MAX(-700,설정!$D$54*LN(1-MIN(모델!$D$37/모델!$D$36,0.999999))))),0)</f>
        <v>255.999977682872</v>
      </c>
      <c r="E19" s="57" t="n">
        <f aca="false">IF(모델!$E$36&gt;1,모델!$E$36*(1-EXP(MAX(-700,설정!$D$54*LN(1-MIN(모델!$E$37/모델!$E$36,0.999999))))),0)</f>
        <v>127.999999999999</v>
      </c>
      <c r="F19" s="57" t="n">
        <f aca="false">IF(모델!$F$36&gt;1,모델!$F$36*(1-EXP(MAX(-700,설정!$D$54*LN(1-MIN(모델!$F$37/모델!$F$36,0.999999))))),0)</f>
        <v>0</v>
      </c>
      <c r="G19" s="2"/>
      <c r="H19" s="2"/>
      <c r="I19" s="2"/>
      <c r="J19" s="2"/>
      <c r="K19" s="2"/>
    </row>
    <row r="20" customFormat="false" ht="15" hidden="false" customHeight="false" outlineLevel="0" collapsed="false">
      <c r="A20" s="20" t="n">
        <f aca="false">설정!$E$54</f>
        <v>1024</v>
      </c>
      <c r="B20" s="57" t="n">
        <f aca="false">IF(모델!$B$36&gt;1,모델!$B$36*(1-EXP(MAX(-700,설정!$E$54*LN(1-MIN(모델!$B$37/모델!$B$36,0.999999))))),0)</f>
        <v>0</v>
      </c>
      <c r="C20" s="57" t="n">
        <f aca="false">IF(모델!$C$36&gt;1,모델!$C$36*(1-EXP(MAX(-700,설정!$E$54*LN(1-MIN(모델!$C$37/모델!$C$36,0.999999))))),0)</f>
        <v>32</v>
      </c>
      <c r="D20" s="57" t="n">
        <f aca="false">IF(모델!$D$36&gt;1,모델!$D$36*(1-EXP(MAX(-700,설정!$E$54*LN(1-MIN(모델!$D$37/모델!$D$36,0.999999))))),0)</f>
        <v>255.999999999998</v>
      </c>
      <c r="E20" s="57" t="n">
        <f aca="false">IF(모델!$E$36&gt;1,모델!$E$36*(1-EXP(MAX(-700,설정!$E$54*LN(1-MIN(모델!$E$37/모델!$E$36,0.999999))))),0)</f>
        <v>128</v>
      </c>
      <c r="F20" s="57" t="n">
        <f aca="false">IF(모델!$F$36&gt;1,모델!$F$36*(1-EXP(MAX(-700,설정!$E$54*LN(1-MIN(모델!$F$37/모델!$F$36,0.999999))))),0)</f>
        <v>0</v>
      </c>
      <c r="G20" s="2"/>
      <c r="H20" s="2"/>
      <c r="I20" s="2"/>
      <c r="J20" s="2"/>
      <c r="K20" s="2"/>
    </row>
    <row r="21" customFormat="false" ht="15" hidden="false" customHeight="false" outlineLevel="0" collapsed="false">
      <c r="A21" s="20" t="n">
        <f aca="false">설정!$F$54</f>
        <v>2048</v>
      </c>
      <c r="B21" s="57" t="n">
        <f aca="false">IF(모델!$B$36&gt;1,모델!$B$36*(1-EXP(MAX(-700,설정!$F$54*LN(1-MIN(모델!$B$37/모델!$B$36,0.999999))))),0)</f>
        <v>0</v>
      </c>
      <c r="C21" s="57" t="n">
        <f aca="false">IF(모델!$C$36&gt;1,모델!$C$36*(1-EXP(MAX(-700,설정!$F$54*LN(1-MIN(모델!$C$37/모델!$C$36,0.999999))))),0)</f>
        <v>32</v>
      </c>
      <c r="D21" s="57" t="n">
        <f aca="false">IF(모델!$D$36&gt;1,모델!$D$36*(1-EXP(MAX(-700,설정!$F$54*LN(1-MIN(모델!$D$37/모델!$D$36,0.999999))))),0)</f>
        <v>256</v>
      </c>
      <c r="E21" s="57" t="n">
        <f aca="false">IF(모델!$E$36&gt;1,모델!$E$36*(1-EXP(MAX(-700,설정!$F$54*LN(1-MIN(모델!$E$37/모델!$E$36,0.999999))))),0)</f>
        <v>128</v>
      </c>
      <c r="F21" s="57" t="n">
        <f aca="false">IF(모델!$F$36&gt;1,모델!$F$36*(1-EXP(MAX(-700,설정!$F$54*LN(1-MIN(모델!$F$37/모델!$F$36,0.999999))))),0)</f>
        <v>0</v>
      </c>
      <c r="G21" s="2"/>
      <c r="H21" s="2"/>
      <c r="I21" s="2"/>
      <c r="J21" s="2"/>
      <c r="K21" s="2"/>
    </row>
    <row r="22" customFormat="false" ht="15" hidden="false" customHeight="false" outlineLevel="0" collapsed="false">
      <c r="A22" s="20" t="n">
        <f aca="false">설정!$G$54</f>
        <v>4096</v>
      </c>
      <c r="B22" s="57" t="n">
        <f aca="false">IF(모델!$B$36&gt;1,모델!$B$36*(1-EXP(MAX(-700,설정!$G$54*LN(1-MIN(모델!$B$37/모델!$B$36,0.999999))))),0)</f>
        <v>0</v>
      </c>
      <c r="C22" s="57" t="n">
        <f aca="false">IF(모델!$C$36&gt;1,모델!$C$36*(1-EXP(MAX(-700,설정!$G$54*LN(1-MIN(모델!$C$37/모델!$C$36,0.999999))))),0)</f>
        <v>32</v>
      </c>
      <c r="D22" s="57" t="n">
        <f aca="false">IF(모델!$D$36&gt;1,모델!$D$36*(1-EXP(MAX(-700,설정!$G$54*LN(1-MIN(모델!$D$37/모델!$D$36,0.999999))))),0)</f>
        <v>256</v>
      </c>
      <c r="E22" s="57" t="n">
        <f aca="false">IF(모델!$E$36&gt;1,모델!$E$36*(1-EXP(MAX(-700,설정!$G$54*LN(1-MIN(모델!$E$37/모델!$E$36,0.999999))))),0)</f>
        <v>128</v>
      </c>
      <c r="F22" s="57" t="n">
        <f aca="false">IF(모델!$F$36&gt;1,모델!$F$36*(1-EXP(MAX(-700,설정!$G$54*LN(1-MIN(모델!$F$37/모델!$F$36,0.999999))))),0)</f>
        <v>0</v>
      </c>
      <c r="G22" s="2"/>
      <c r="H22" s="2"/>
      <c r="I22" s="2"/>
      <c r="J22" s="2"/>
      <c r="K22" s="2"/>
    </row>
    <row r="23" customFormat="false" ht="15" hidden="false" customHeight="false" outlineLevel="0" collapsed="false">
      <c r="A23" s="20" t="n">
        <f aca="false">설정!$H$54</f>
        <v>8192</v>
      </c>
      <c r="B23" s="57" t="n">
        <f aca="false">IF(모델!$B$36&gt;1,모델!$B$36*(1-EXP(MAX(-700,설정!$H$54*LN(1-MIN(모델!$B$37/모델!$B$36,0.999999))))),0)</f>
        <v>0</v>
      </c>
      <c r="C23" s="57" t="n">
        <f aca="false">IF(모델!$C$36&gt;1,모델!$C$36*(1-EXP(MAX(-700,설정!$H$54*LN(1-MIN(모델!$C$37/모델!$C$36,0.999999))))),0)</f>
        <v>32</v>
      </c>
      <c r="D23" s="57" t="n">
        <f aca="false">IF(모델!$D$36&gt;1,모델!$D$36*(1-EXP(MAX(-700,설정!$H$54*LN(1-MIN(모델!$D$37/모델!$D$36,0.999999))))),0)</f>
        <v>256</v>
      </c>
      <c r="E23" s="57" t="n">
        <f aca="false">IF(모델!$E$36&gt;1,모델!$E$36*(1-EXP(MAX(-700,설정!$H$54*LN(1-MIN(모델!$E$37/모델!$E$36,0.999999))))),0)</f>
        <v>128</v>
      </c>
      <c r="F23" s="57" t="n">
        <f aca="false">IF(모델!$F$36&gt;1,모델!$F$36*(1-EXP(MAX(-700,설정!$H$54*LN(1-MIN(모델!$F$37/모델!$F$36,0.999999))))),0)</f>
        <v>0</v>
      </c>
      <c r="G23" s="2"/>
      <c r="H23" s="2"/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7.15" hidden="false" customHeight="false" outlineLevel="0" collapsed="false">
      <c r="A25" s="7" t="s">
        <v>240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30" hidden="false" customHeight="true" outlineLevel="0" collapsed="false">
      <c r="A26" s="8" t="s">
        <v>13</v>
      </c>
      <c r="B26" s="18" t="str">
        <f aca="false">모델!B6</f>
        <v>Llama 3.1 8B Instruct</v>
      </c>
      <c r="C26" s="18" t="str">
        <f aca="false">모델!C6</f>
        <v>gpt-oss-20b</v>
      </c>
      <c r="D26" s="18" t="str">
        <f aca="false">모델!D6</f>
        <v>Qwen3.6-35B-A3B</v>
      </c>
      <c r="E26" s="18" t="str">
        <f aca="false">모델!E6</f>
        <v>Gemma 4 26B-A4B</v>
      </c>
      <c r="F26" s="18" t="str">
        <f aca="false">모델!F6</f>
        <v>Llama 3.2 3B Instruct</v>
      </c>
      <c r="G26" s="2"/>
      <c r="H26" s="2"/>
      <c r="I26" s="2"/>
      <c r="J26" s="2"/>
      <c r="K26" s="2"/>
    </row>
    <row r="27" customFormat="false" ht="15" hidden="false" customHeight="false" outlineLevel="0" collapsed="false">
      <c r="A27" s="20" t="n">
        <f aca="false">설정!$B$54</f>
        <v>128</v>
      </c>
      <c r="B27" s="58" t="str">
        <f aca="false">IF(모델!$B$36&gt;1,IF(AND(설정!$B$47="실측",ISNUMBER('Expert 실측'!$B$7)),MIN(모델!$B$36,'Expert 실측'!$B$7),'Expert 실측'!$B$17)/모델!$B$36,"-")</f>
        <v>-</v>
      </c>
      <c r="C27" s="58" t="n">
        <f aca="false">IF(모델!$C$36&gt;1,IF(AND(설정!$B$47="실측",ISNUMBER('Expert 실측'!$C$7)),MIN(모델!$C$36,'Expert 실측'!$C$7),'Expert 실측'!$C$17)/모델!$C$36,"-")</f>
        <v>0.999999962240104</v>
      </c>
      <c r="D27" s="58" t="n">
        <f aca="false">IF(모델!$D$36&gt;1,IF(AND(설정!$B$47="실측",ISNUMBER('Expert 실측'!$D$7)),MIN(모델!$D$36,'Expert 실측'!$D$7),'Expert 실측'!$D$17)/모델!$D$36,"-")</f>
        <v>0.982816976429182</v>
      </c>
      <c r="E27" s="58" t="n">
        <f aca="false">IF(모델!$E$36&gt;1,IF(AND(설정!$B$47="실측",ISNUMBER('Expert 실측'!$E$7)),MIN(모델!$E$36,'Expert 실측'!$E$7),'Expert 실측'!$E$17)/모델!$E$36,"-")</f>
        <v>0.99974158163216</v>
      </c>
      <c r="F27" s="58" t="str">
        <f aca="false">IF(모델!$F$36&gt;1,IF(AND(설정!$B$47="실측",ISNUMBER('Expert 실측'!$F$7)),MIN(모델!$F$36,'Expert 실측'!$F$7),'Expert 실측'!$F$17)/모델!$F$36,"-")</f>
        <v>-</v>
      </c>
      <c r="G27" s="2"/>
      <c r="H27" s="2"/>
      <c r="I27" s="2"/>
      <c r="J27" s="2"/>
      <c r="K27" s="2"/>
    </row>
    <row r="28" customFormat="false" ht="15" hidden="false" customHeight="false" outlineLevel="0" collapsed="false">
      <c r="A28" s="20" t="n">
        <f aca="false">설정!$C$54</f>
        <v>256</v>
      </c>
      <c r="B28" s="58" t="str">
        <f aca="false">IF(모델!$B$36&gt;1,IF(AND(설정!$B$47="실측",ISNUMBER('Expert 실측'!$B$8)),MIN(모델!$B$36,'Expert 실측'!$B$8),'Expert 실측'!$B$18)/모델!$B$36,"-")</f>
        <v>-</v>
      </c>
      <c r="C28" s="58" t="n">
        <f aca="false">IF(모델!$C$36&gt;1,IF(AND(설정!$B$47="실측",ISNUMBER('Expert 실측'!$C$8)),MIN(모델!$C$36,'Expert 실측'!$C$8),'Expert 실측'!$C$18)/모델!$C$36,"-")</f>
        <v>0.999999999999999</v>
      </c>
      <c r="D28" s="58" t="n">
        <f aca="false">IF(모델!$D$36&gt;1,IF(AND(설정!$B$47="실측",ISNUMBER('Expert 실측'!$D$8)),MIN(모델!$D$36,'Expert 실측'!$D$8),'Expert 실측'!$D$18)/모델!$D$36,"-")</f>
        <v>0.999704743700965</v>
      </c>
      <c r="E28" s="58" t="n">
        <f aca="false">IF(모델!$E$36&gt;1,IF(AND(설정!$B$47="실측",ISNUMBER('Expert 실측'!$E$8)),MIN(모델!$E$36,'Expert 실측'!$E$8),'Expert 실측'!$E$18)/모델!$E$36,"-")</f>
        <v>0.999999933219947</v>
      </c>
      <c r="F28" s="58" t="str">
        <f aca="false">IF(모델!$F$36&gt;1,IF(AND(설정!$B$47="실측",ISNUMBER('Expert 실측'!$F$8)),MIN(모델!$F$36,'Expert 실측'!$F$8),'Expert 실측'!$F$18)/모델!$F$36,"-")</f>
        <v>-</v>
      </c>
      <c r="G28" s="2"/>
      <c r="H28" s="2"/>
      <c r="I28" s="2"/>
      <c r="J28" s="2"/>
      <c r="K28" s="2"/>
    </row>
    <row r="29" customFormat="false" ht="15" hidden="false" customHeight="false" outlineLevel="0" collapsed="false">
      <c r="A29" s="20" t="n">
        <f aca="false">설정!$D$54</f>
        <v>512</v>
      </c>
      <c r="B29" s="58" t="str">
        <f aca="false">IF(모델!$B$36&gt;1,IF(AND(설정!$B$47="실측",ISNUMBER('Expert 실측'!$B$9)),MIN(모델!$B$36,'Expert 실측'!$B$9),'Expert 실측'!$B$19)/모델!$B$36,"-")</f>
        <v>-</v>
      </c>
      <c r="C29" s="58" t="n">
        <f aca="false">IF(모델!$C$36&gt;1,IF(AND(설정!$B$47="실측",ISNUMBER('Expert 실측'!$C$9)),MIN(모델!$C$36,'Expert 실측'!$C$9),'Expert 실측'!$C$19)/모델!$C$36,"-")</f>
        <v>1</v>
      </c>
      <c r="D29" s="58" t="n">
        <f aca="false">IF(모델!$D$36&gt;1,IF(AND(설정!$B$47="실측",ISNUMBER('Expert 실측'!$D$9)),MIN(모델!$D$36,'Expert 실측'!$D$9),'Expert 실측'!$D$19)/모델!$D$36,"-")</f>
        <v>0.999999912823718</v>
      </c>
      <c r="E29" s="58" t="n">
        <f aca="false">IF(모델!$E$36&gt;1,IF(AND(설정!$B$47="실측",ISNUMBER('Expert 실측'!$E$9)),MIN(모델!$E$36,'Expert 실측'!$E$9),'Expert 실측'!$E$19)/모델!$E$36,"-")</f>
        <v>0.999999999999996</v>
      </c>
      <c r="F29" s="58" t="str">
        <f aca="false">IF(모델!$F$36&gt;1,IF(AND(설정!$B$47="실측",ISNUMBER('Expert 실측'!$F$9)),MIN(모델!$F$36,'Expert 실측'!$F$9),'Expert 실측'!$F$19)/모델!$F$36,"-")</f>
        <v>-</v>
      </c>
      <c r="G29" s="2"/>
      <c r="H29" s="2"/>
      <c r="I29" s="2"/>
      <c r="J29" s="2"/>
      <c r="K29" s="2"/>
    </row>
    <row r="30" customFormat="false" ht="15" hidden="false" customHeight="false" outlineLevel="0" collapsed="false">
      <c r="A30" s="20" t="n">
        <f aca="false">설정!$E$54</f>
        <v>1024</v>
      </c>
      <c r="B30" s="58" t="str">
        <f aca="false">IF(모델!$B$36&gt;1,IF(AND(설정!$B$47="실측",ISNUMBER('Expert 실측'!$B$10)),MIN(모델!$B$36,'Expert 실측'!$B$10),'Expert 실측'!$B$20)/모델!$B$36,"-")</f>
        <v>-</v>
      </c>
      <c r="C30" s="58" t="n">
        <f aca="false">IF(모델!$C$36&gt;1,IF(AND(설정!$B$47="실측",ISNUMBER('Expert 실측'!$C$10)),MIN(모델!$C$36,'Expert 실측'!$C$10),'Expert 실측'!$C$20)/모델!$C$36,"-")</f>
        <v>1</v>
      </c>
      <c r="D30" s="58" t="n">
        <f aca="false">IF(모델!$D$36&gt;1,IF(AND(설정!$B$47="실측",ISNUMBER('Expert 실측'!$D$10)),MIN(모델!$D$36,'Expert 실측'!$D$10),'Expert 실측'!$D$20)/모델!$D$36,"-")</f>
        <v>0.999999999999993</v>
      </c>
      <c r="E30" s="58" t="n">
        <f aca="false">IF(모델!$E$36&gt;1,IF(AND(설정!$B$47="실측",ISNUMBER('Expert 실측'!$E$10)),MIN(모델!$E$36,'Expert 실측'!$E$10),'Expert 실측'!$E$20)/모델!$E$36,"-")</f>
        <v>1</v>
      </c>
      <c r="F30" s="58" t="str">
        <f aca="false">IF(모델!$F$36&gt;1,IF(AND(설정!$B$47="실측",ISNUMBER('Expert 실측'!$F$10)),MIN(모델!$F$36,'Expert 실측'!$F$10),'Expert 실측'!$F$20)/모델!$F$36,"-")</f>
        <v>-</v>
      </c>
      <c r="G30" s="2"/>
      <c r="H30" s="2"/>
      <c r="I30" s="2"/>
      <c r="J30" s="2"/>
      <c r="K30" s="2"/>
    </row>
    <row r="31" customFormat="false" ht="15" hidden="false" customHeight="false" outlineLevel="0" collapsed="false">
      <c r="A31" s="20" t="n">
        <f aca="false">설정!$F$54</f>
        <v>2048</v>
      </c>
      <c r="B31" s="58" t="str">
        <f aca="false">IF(모델!$B$36&gt;1,IF(AND(설정!$B$47="실측",ISNUMBER('Expert 실측'!$B$11)),MIN(모델!$B$36,'Expert 실측'!$B$11),'Expert 실측'!$B$21)/모델!$B$36,"-")</f>
        <v>-</v>
      </c>
      <c r="C31" s="58" t="n">
        <f aca="false">IF(모델!$C$36&gt;1,IF(AND(설정!$B$47="실측",ISNUMBER('Expert 실측'!$C$11)),MIN(모델!$C$36,'Expert 실측'!$C$11),'Expert 실측'!$C$21)/모델!$C$36,"-")</f>
        <v>1</v>
      </c>
      <c r="D31" s="58" t="n">
        <f aca="false">IF(모델!$D$36&gt;1,IF(AND(설정!$B$47="실측",ISNUMBER('Expert 실측'!$D$11)),MIN(모델!$D$36,'Expert 실측'!$D$11),'Expert 실측'!$D$21)/모델!$D$36,"-")</f>
        <v>1</v>
      </c>
      <c r="E31" s="58" t="n">
        <f aca="false">IF(모델!$E$36&gt;1,IF(AND(설정!$B$47="실측",ISNUMBER('Expert 실측'!$E$11)),MIN(모델!$E$36,'Expert 실측'!$E$11),'Expert 실측'!$E$21)/모델!$E$36,"-")</f>
        <v>1</v>
      </c>
      <c r="F31" s="58" t="str">
        <f aca="false">IF(모델!$F$36&gt;1,IF(AND(설정!$B$47="실측",ISNUMBER('Expert 실측'!$F$11)),MIN(모델!$F$36,'Expert 실측'!$F$11),'Expert 실측'!$F$21)/모델!$F$36,"-")</f>
        <v>-</v>
      </c>
      <c r="G31" s="2"/>
      <c r="H31" s="2"/>
      <c r="I31" s="2"/>
      <c r="J31" s="2"/>
      <c r="K31" s="2"/>
    </row>
    <row r="32" customFormat="false" ht="15" hidden="false" customHeight="false" outlineLevel="0" collapsed="false">
      <c r="A32" s="20" t="n">
        <f aca="false">설정!$G$54</f>
        <v>4096</v>
      </c>
      <c r="B32" s="58" t="str">
        <f aca="false">IF(모델!$B$36&gt;1,IF(AND(설정!$B$47="실측",ISNUMBER('Expert 실측'!$B$12)),MIN(모델!$B$36,'Expert 실측'!$B$12),'Expert 실측'!$B$22)/모델!$B$36,"-")</f>
        <v>-</v>
      </c>
      <c r="C32" s="58" t="n">
        <f aca="false">IF(모델!$C$36&gt;1,IF(AND(설정!$B$47="실측",ISNUMBER('Expert 실측'!$C$12)),MIN(모델!$C$36,'Expert 실측'!$C$12),'Expert 실측'!$C$22)/모델!$C$36,"-")</f>
        <v>1</v>
      </c>
      <c r="D32" s="58" t="n">
        <f aca="false">IF(모델!$D$36&gt;1,IF(AND(설정!$B$47="실측",ISNUMBER('Expert 실측'!$D$12)),MIN(모델!$D$36,'Expert 실측'!$D$12),'Expert 실측'!$D$22)/모델!$D$36,"-")</f>
        <v>1</v>
      </c>
      <c r="E32" s="58" t="n">
        <f aca="false">IF(모델!$E$36&gt;1,IF(AND(설정!$B$47="실측",ISNUMBER('Expert 실측'!$E$12)),MIN(모델!$E$36,'Expert 실측'!$E$12),'Expert 실측'!$E$22)/모델!$E$36,"-")</f>
        <v>1</v>
      </c>
      <c r="F32" s="58" t="str">
        <f aca="false">IF(모델!$F$36&gt;1,IF(AND(설정!$B$47="실측",ISNUMBER('Expert 실측'!$F$12)),MIN(모델!$F$36,'Expert 실측'!$F$12),'Expert 실측'!$F$22)/모델!$F$36,"-")</f>
        <v>-</v>
      </c>
      <c r="G32" s="2"/>
      <c r="H32" s="2"/>
      <c r="I32" s="2"/>
      <c r="J32" s="2"/>
      <c r="K32" s="2"/>
    </row>
    <row r="33" customFormat="false" ht="15" hidden="false" customHeight="false" outlineLevel="0" collapsed="false">
      <c r="A33" s="20" t="n">
        <f aca="false">설정!$H$54</f>
        <v>8192</v>
      </c>
      <c r="B33" s="58" t="str">
        <f aca="false">IF(모델!$B$36&gt;1,IF(AND(설정!$B$47="실측",ISNUMBER('Expert 실측'!$B$13)),MIN(모델!$B$36,'Expert 실측'!$B$13),'Expert 실측'!$B$23)/모델!$B$36,"-")</f>
        <v>-</v>
      </c>
      <c r="C33" s="58" t="n">
        <f aca="false">IF(모델!$C$36&gt;1,IF(AND(설정!$B$47="실측",ISNUMBER('Expert 실측'!$C$13)),MIN(모델!$C$36,'Expert 실측'!$C$13),'Expert 실측'!$C$23)/모델!$C$36,"-")</f>
        <v>1</v>
      </c>
      <c r="D33" s="58" t="n">
        <f aca="false">IF(모델!$D$36&gt;1,IF(AND(설정!$B$47="실측",ISNUMBER('Expert 실측'!$D$13)),MIN(모델!$D$36,'Expert 실측'!$D$13),'Expert 실측'!$D$23)/모델!$D$36,"-")</f>
        <v>1</v>
      </c>
      <c r="E33" s="58" t="n">
        <f aca="false">IF(모델!$E$36&gt;1,IF(AND(설정!$B$47="실측",ISNUMBER('Expert 실측'!$E$13)),MIN(모델!$E$36,'Expert 실측'!$E$13),'Expert 실측'!$E$23)/모델!$E$36,"-")</f>
        <v>1</v>
      </c>
      <c r="F33" s="58" t="str">
        <f aca="false">IF(모델!$F$36&gt;1,IF(AND(설정!$B$47="실측",ISNUMBER('Expert 실측'!$F$13)),MIN(모델!$F$36,'Expert 실측'!$F$13),'Expert 실측'!$F$23)/모델!$F$36,"-")</f>
        <v>-</v>
      </c>
      <c r="G33" s="2"/>
      <c r="H33" s="2"/>
      <c r="I33" s="2"/>
      <c r="J33" s="2"/>
      <c r="K33" s="2"/>
    </row>
    <row r="34" customFormat="false" ht="17.15" hidden="false" customHeight="false" outlineLevel="0" collapsed="false">
      <c r="A34" s="22" t="s">
        <v>241</v>
      </c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4"/>
  </cols>
  <sheetData>
    <row r="1" customFormat="false" ht="21.6" hidden="false" customHeight="false" outlineLevel="0" collapsed="false">
      <c r="A1" s="1" t="str">
        <f aca="false">모델!B6&amp;" — 계산 상세"</f>
        <v>Llama 3.1 8B Instruct — 계산 상세</v>
      </c>
      <c r="B1" s="2"/>
      <c r="C1" s="2"/>
      <c r="D1" s="2"/>
      <c r="E1" s="2"/>
      <c r="F1" s="2"/>
      <c r="G1" s="2"/>
      <c r="H1" s="2"/>
      <c r="I1" s="2"/>
    </row>
    <row r="2" customFormat="false" ht="17.15" hidden="false" customHeight="false" outlineLevel="0" collapsed="false">
      <c r="A2" s="27" t="s">
        <v>242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7.15" hidden="false" customHeight="false" outlineLevel="0" collapsed="false">
      <c r="A4" s="48" t="s">
        <v>243</v>
      </c>
      <c r="B4" s="35" t="s">
        <v>244</v>
      </c>
      <c r="C4" s="35" t="s">
        <v>245</v>
      </c>
      <c r="D4" s="48" t="s">
        <v>246</v>
      </c>
      <c r="E4" s="48" t="s">
        <v>247</v>
      </c>
      <c r="F4" s="48" t="s">
        <v>248</v>
      </c>
      <c r="G4" s="35" t="s">
        <v>61</v>
      </c>
      <c r="H4" s="35" t="s">
        <v>249</v>
      </c>
      <c r="I4" s="48" t="s">
        <v>250</v>
      </c>
    </row>
    <row r="5" customFormat="false" ht="15" hidden="false" customHeight="false" outlineLevel="0" collapsed="false">
      <c r="A5" s="30" t="s">
        <v>251</v>
      </c>
      <c r="B5" s="59" t="n">
        <f aca="false">모델!$B$8</f>
        <v>4096</v>
      </c>
      <c r="C5" s="59" t="n">
        <f aca="false">모델!$B$13*모델!$B$15*모델!$B$16</f>
        <v>4096</v>
      </c>
      <c r="D5" s="59" t="n">
        <f aca="false">모델!$B$12</f>
        <v>32</v>
      </c>
      <c r="E5" s="2" t="s">
        <v>252</v>
      </c>
      <c r="F5" s="2" t="s">
        <v>65</v>
      </c>
      <c r="G5" s="60" t="n">
        <f aca="false">설정!$B$27</f>
        <v>4</v>
      </c>
      <c r="H5" s="61" t="n">
        <f aca="false">(설정!$B$27/8+IF(설정!$C$27=0,설정!$D$27/8/MAX(1,$B$5),설정!$D$27/8/설정!$C$27))</f>
        <v>0.515625</v>
      </c>
      <c r="I5" s="62" t="n">
        <f aca="false">설정!$B$63</f>
        <v>24000000000000</v>
      </c>
    </row>
    <row r="6" customFormat="false" ht="15" hidden="false" customHeight="false" outlineLevel="0" collapsed="false">
      <c r="A6" s="30" t="s">
        <v>253</v>
      </c>
      <c r="B6" s="59" t="n">
        <f aca="false">모델!$B$8</f>
        <v>4096</v>
      </c>
      <c r="C6" s="59" t="n">
        <f aca="false">모델!$B$14*모델!$B$15</f>
        <v>1024</v>
      </c>
      <c r="D6" s="59" t="n">
        <f aca="false">모델!$B$12</f>
        <v>32</v>
      </c>
      <c r="E6" s="2" t="s">
        <v>252</v>
      </c>
      <c r="F6" s="2" t="s">
        <v>65</v>
      </c>
      <c r="G6" s="60" t="n">
        <f aca="false">설정!$B$27</f>
        <v>4</v>
      </c>
      <c r="H6" s="61" t="n">
        <f aca="false">(설정!$B$27/8+IF(설정!$C$27=0,설정!$D$27/8/MAX(1,$B$6),설정!$D$27/8/설정!$C$27))</f>
        <v>0.515625</v>
      </c>
      <c r="I6" s="62" t="n">
        <f aca="false">설정!$B$63</f>
        <v>24000000000000</v>
      </c>
    </row>
    <row r="7" customFormat="false" ht="15" hidden="false" customHeight="false" outlineLevel="0" collapsed="false">
      <c r="A7" s="30" t="s">
        <v>254</v>
      </c>
      <c r="B7" s="59" t="n">
        <f aca="false">모델!$B$8</f>
        <v>4096</v>
      </c>
      <c r="C7" s="59" t="n">
        <f aca="false">모델!$B$14*모델!$B$15</f>
        <v>1024</v>
      </c>
      <c r="D7" s="59" t="n">
        <f aca="false">모델!$B$12*모델!$B$17</f>
        <v>32</v>
      </c>
      <c r="E7" s="2" t="s">
        <v>252</v>
      </c>
      <c r="F7" s="2" t="s">
        <v>65</v>
      </c>
      <c r="G7" s="60" t="n">
        <f aca="false">설정!$B$27</f>
        <v>4</v>
      </c>
      <c r="H7" s="61" t="n">
        <f aca="false">(설정!$B$27/8+IF(설정!$C$27=0,설정!$D$27/8/MAX(1,$B$7),설정!$D$27/8/설정!$C$27))</f>
        <v>0.515625</v>
      </c>
      <c r="I7" s="62" t="n">
        <f aca="false">설정!$B$63</f>
        <v>24000000000000</v>
      </c>
    </row>
    <row r="8" customFormat="false" ht="15" hidden="false" customHeight="false" outlineLevel="0" collapsed="false">
      <c r="A8" s="30" t="s">
        <v>255</v>
      </c>
      <c r="B8" s="59" t="n">
        <f aca="false">모델!$B$13*모델!$B$15</f>
        <v>4096</v>
      </c>
      <c r="C8" s="59" t="n">
        <f aca="false">모델!$B$8</f>
        <v>4096</v>
      </c>
      <c r="D8" s="59" t="n">
        <f aca="false">모델!$B$12</f>
        <v>32</v>
      </c>
      <c r="E8" s="2" t="s">
        <v>252</v>
      </c>
      <c r="F8" s="2" t="s">
        <v>65</v>
      </c>
      <c r="G8" s="60" t="n">
        <f aca="false">설정!$B$27</f>
        <v>4</v>
      </c>
      <c r="H8" s="61" t="n">
        <f aca="false">(설정!$B$27/8+IF(설정!$C$27=0,설정!$D$27/8/MAX(1,$B$8),설정!$D$27/8/설정!$C$27))</f>
        <v>0.515625</v>
      </c>
      <c r="I8" s="62" t="n">
        <f aca="false">설정!$B$63</f>
        <v>24000000000000</v>
      </c>
    </row>
    <row r="9" customFormat="false" ht="15" hidden="false" customHeight="false" outlineLevel="0" collapsed="false">
      <c r="A9" s="30" t="s">
        <v>256</v>
      </c>
      <c r="B9" s="59" t="n">
        <f aca="false">모델!$B$8</f>
        <v>4096</v>
      </c>
      <c r="C9" s="59" t="n">
        <f aca="false">모델!$B$21*모델!$B$23</f>
        <v>0</v>
      </c>
      <c r="D9" s="59" t="n">
        <f aca="false">모델!$B$19</f>
        <v>0</v>
      </c>
      <c r="E9" s="2" t="s">
        <v>252</v>
      </c>
      <c r="F9" s="2" t="s">
        <v>65</v>
      </c>
      <c r="G9" s="60" t="n">
        <f aca="false">설정!$B$27</f>
        <v>4</v>
      </c>
      <c r="H9" s="61" t="n">
        <f aca="false">(설정!$B$27/8+IF(설정!$C$27=0,설정!$D$27/8/MAX(1,$B$9),설정!$D$27/8/설정!$C$27))</f>
        <v>0.515625</v>
      </c>
      <c r="I9" s="62" t="n">
        <f aca="false">설정!$B$63</f>
        <v>24000000000000</v>
      </c>
    </row>
    <row r="10" customFormat="false" ht="15" hidden="false" customHeight="false" outlineLevel="0" collapsed="false">
      <c r="A10" s="30" t="s">
        <v>257</v>
      </c>
      <c r="B10" s="59" t="n">
        <f aca="false">모델!$B$8</f>
        <v>4096</v>
      </c>
      <c r="C10" s="59" t="n">
        <f aca="false">모델!$B$22*모델!$B$23</f>
        <v>0</v>
      </c>
      <c r="D10" s="59" t="n">
        <f aca="false">모델!$B$19</f>
        <v>0</v>
      </c>
      <c r="E10" s="2" t="s">
        <v>252</v>
      </c>
      <c r="F10" s="2" t="s">
        <v>65</v>
      </c>
      <c r="G10" s="60" t="n">
        <f aca="false">설정!$B$27</f>
        <v>4</v>
      </c>
      <c r="H10" s="61" t="n">
        <f aca="false">(설정!$B$27/8+IF(설정!$C$27=0,설정!$D$27/8/MAX(1,$B$10),설정!$D$27/8/설정!$C$27))</f>
        <v>0.515625</v>
      </c>
      <c r="I10" s="62" t="n">
        <f aca="false">설정!$B$63</f>
        <v>24000000000000</v>
      </c>
    </row>
    <row r="11" customFormat="false" ht="15" hidden="false" customHeight="false" outlineLevel="0" collapsed="false">
      <c r="A11" s="30" t="s">
        <v>258</v>
      </c>
      <c r="B11" s="59" t="n">
        <f aca="false">모델!$B$8</f>
        <v>4096</v>
      </c>
      <c r="C11" s="59" t="n">
        <f aca="false">모델!$B$22*모델!$B$23</f>
        <v>0</v>
      </c>
      <c r="D11" s="59" t="n">
        <f aca="false">모델!$B$19*모델!$B$24</f>
        <v>0</v>
      </c>
      <c r="E11" s="2" t="s">
        <v>252</v>
      </c>
      <c r="F11" s="2" t="s">
        <v>65</v>
      </c>
      <c r="G11" s="60" t="n">
        <f aca="false">설정!$B$27</f>
        <v>4</v>
      </c>
      <c r="H11" s="61" t="n">
        <f aca="false">(설정!$B$27/8+IF(설정!$C$27=0,설정!$D$27/8/MAX(1,$B$11),설정!$D$27/8/설정!$C$27))</f>
        <v>0.515625</v>
      </c>
      <c r="I11" s="62" t="n">
        <f aca="false">설정!$B$63</f>
        <v>24000000000000</v>
      </c>
    </row>
    <row r="12" customFormat="false" ht="15" hidden="false" customHeight="false" outlineLevel="0" collapsed="false">
      <c r="A12" s="30" t="s">
        <v>259</v>
      </c>
      <c r="B12" s="59" t="n">
        <f aca="false">모델!$B$21*모델!$B$23</f>
        <v>0</v>
      </c>
      <c r="C12" s="59" t="n">
        <f aca="false">모델!$B$8</f>
        <v>4096</v>
      </c>
      <c r="D12" s="59" t="n">
        <f aca="false">모델!$B$19</f>
        <v>0</v>
      </c>
      <c r="E12" s="2" t="s">
        <v>252</v>
      </c>
      <c r="F12" s="2" t="s">
        <v>65</v>
      </c>
      <c r="G12" s="60" t="n">
        <f aca="false">설정!$B$27</f>
        <v>4</v>
      </c>
      <c r="H12" s="61" t="n">
        <f aca="false">(설정!$B$27/8+IF(설정!$C$27=0,설정!$D$27/8/MAX(1,$B$12),설정!$D$27/8/설정!$C$27))</f>
        <v>0.515625</v>
      </c>
      <c r="I12" s="62" t="n">
        <f aca="false">설정!$B$63</f>
        <v>24000000000000</v>
      </c>
    </row>
    <row r="13" customFormat="false" ht="15" hidden="false" customHeight="false" outlineLevel="0" collapsed="false">
      <c r="A13" s="30" t="s">
        <v>260</v>
      </c>
      <c r="B13" s="59" t="n">
        <f aca="false">모델!$B$8</f>
        <v>4096</v>
      </c>
      <c r="C13" s="59" t="n">
        <f aca="false">모델!$B$52</f>
        <v>0</v>
      </c>
      <c r="D13" s="59" t="n">
        <f aca="false">모델!$B$26</f>
        <v>0</v>
      </c>
      <c r="E13" s="2" t="s">
        <v>252</v>
      </c>
      <c r="F13" s="2" t="s">
        <v>67</v>
      </c>
      <c r="G13" s="60" t="n">
        <f aca="false">설정!$B$28</f>
        <v>4</v>
      </c>
      <c r="H13" s="61" t="n">
        <f aca="false">(설정!$B$28/8+IF(설정!$C$28=0,설정!$D$28/8/MAX(1,$B$13),설정!$D$28/8/설정!$C$28))</f>
        <v>0.515625</v>
      </c>
      <c r="I13" s="62" t="n">
        <f aca="false">설정!$B$64</f>
        <v>24000000000000</v>
      </c>
    </row>
    <row r="14" customFormat="false" ht="15" hidden="false" customHeight="false" outlineLevel="0" collapsed="false">
      <c r="A14" s="30" t="s">
        <v>261</v>
      </c>
      <c r="B14" s="59" t="n">
        <f aca="false">모델!$B$8</f>
        <v>4096</v>
      </c>
      <c r="C14" s="59" t="n">
        <f aca="false">모델!$B$29*모델!$B$30</f>
        <v>0</v>
      </c>
      <c r="D14" s="59" t="n">
        <f aca="false">모델!$B$26</f>
        <v>0</v>
      </c>
      <c r="E14" s="2" t="s">
        <v>252</v>
      </c>
      <c r="F14" s="2" t="s">
        <v>67</v>
      </c>
      <c r="G14" s="60" t="n">
        <f aca="false">설정!$B$28</f>
        <v>4</v>
      </c>
      <c r="H14" s="61" t="n">
        <f aca="false">(설정!$B$28/8+IF(설정!$C$28=0,설정!$D$28/8/MAX(1,$B$14),설정!$D$28/8/설정!$C$28))</f>
        <v>0.515625</v>
      </c>
      <c r="I14" s="62" t="n">
        <f aca="false">설정!$B$64</f>
        <v>24000000000000</v>
      </c>
    </row>
    <row r="15" customFormat="false" ht="15" hidden="false" customHeight="false" outlineLevel="0" collapsed="false">
      <c r="A15" s="30" t="s">
        <v>262</v>
      </c>
      <c r="B15" s="59" t="n">
        <f aca="false">모델!$B$8</f>
        <v>4096</v>
      </c>
      <c r="C15" s="59" t="n">
        <f aca="false">2*모델!$B$29</f>
        <v>0</v>
      </c>
      <c r="D15" s="59" t="n">
        <f aca="false">모델!$B$26</f>
        <v>0</v>
      </c>
      <c r="E15" s="2" t="s">
        <v>252</v>
      </c>
      <c r="F15" s="2" t="s">
        <v>67</v>
      </c>
      <c r="G15" s="60" t="n">
        <f aca="false">설정!$B$28</f>
        <v>4</v>
      </c>
      <c r="H15" s="61" t="n">
        <f aca="false">(설정!$B$28/8+IF(설정!$C$28=0,설정!$D$28/8/MAX(1,$B$15),설정!$D$28/8/설정!$C$28))</f>
        <v>0.515625</v>
      </c>
      <c r="I15" s="62" t="n">
        <f aca="false">설정!$B$64</f>
        <v>24000000000000</v>
      </c>
    </row>
    <row r="16" customFormat="false" ht="15" hidden="false" customHeight="false" outlineLevel="0" collapsed="false">
      <c r="A16" s="30" t="s">
        <v>263</v>
      </c>
      <c r="B16" s="59" t="n">
        <f aca="false">모델!$B$29*모델!$B$30</f>
        <v>0</v>
      </c>
      <c r="C16" s="59" t="n">
        <f aca="false">모델!$B$8</f>
        <v>4096</v>
      </c>
      <c r="D16" s="59" t="n">
        <f aca="false">모델!$B$26</f>
        <v>0</v>
      </c>
      <c r="E16" s="2" t="s">
        <v>252</v>
      </c>
      <c r="F16" s="2" t="s">
        <v>67</v>
      </c>
      <c r="G16" s="60" t="n">
        <f aca="false">설정!$B$28</f>
        <v>4</v>
      </c>
      <c r="H16" s="61" t="n">
        <f aca="false">(설정!$B$28/8+IF(설정!$C$28=0,설정!$D$28/8/MAX(1,$B$16),설정!$D$28/8/설정!$C$28))</f>
        <v>0.515625</v>
      </c>
      <c r="I16" s="62" t="n">
        <f aca="false">설정!$B$64</f>
        <v>24000000000000</v>
      </c>
    </row>
    <row r="17" customFormat="false" ht="15" hidden="false" customHeight="false" outlineLevel="0" collapsed="false">
      <c r="A17" s="30" t="s">
        <v>264</v>
      </c>
      <c r="B17" s="59" t="n">
        <f aca="false">모델!$B$8</f>
        <v>4096</v>
      </c>
      <c r="C17" s="59" t="n">
        <f aca="false">모델!$B$36</f>
        <v>0</v>
      </c>
      <c r="D17" s="59" t="n">
        <f aca="false">IF(모델!$B$36&gt;1,모델!$B$7,0)</f>
        <v>0</v>
      </c>
      <c r="E17" s="2" t="s">
        <v>252</v>
      </c>
      <c r="F17" s="2" t="s">
        <v>71</v>
      </c>
      <c r="G17" s="60" t="n">
        <f aca="false">설정!$B$30</f>
        <v>8</v>
      </c>
      <c r="H17" s="61" t="n">
        <f aca="false">(설정!$B$30/8+IF(설정!$C$30=0,설정!$D$30/8/MAX(1,$B$17),설정!$D$30/8/설정!$C$30))</f>
        <v>1.015625</v>
      </c>
      <c r="I17" s="62" t="n">
        <f aca="false">설정!$B$66</f>
        <v>24000000000000</v>
      </c>
    </row>
    <row r="18" customFormat="false" ht="15" hidden="false" customHeight="false" outlineLevel="0" collapsed="false">
      <c r="A18" s="30" t="s">
        <v>265</v>
      </c>
      <c r="B18" s="59" t="n">
        <f aca="false">모델!$B$8</f>
        <v>4096</v>
      </c>
      <c r="C18" s="59" t="n">
        <f aca="false">모델!$B$34</f>
        <v>14336</v>
      </c>
      <c r="D18" s="59" t="n">
        <f aca="false">IF(AND(모델!$B$34&gt;0,모델!$B$35&gt;=3),모델!$B$7,0)</f>
        <v>32</v>
      </c>
      <c r="E18" s="2" t="s">
        <v>252</v>
      </c>
      <c r="F18" s="2" t="s">
        <v>69</v>
      </c>
      <c r="G18" s="60" t="n">
        <f aca="false">설정!$B$29</f>
        <v>4</v>
      </c>
      <c r="H18" s="61" t="n">
        <f aca="false">(설정!$B$29/8+IF(설정!$C$29=0,설정!$D$29/8/MAX(1,$B$18),설정!$D$29/8/설정!$C$29))</f>
        <v>0.515625</v>
      </c>
      <c r="I18" s="62" t="n">
        <f aca="false">설정!$B$65</f>
        <v>24000000000000</v>
      </c>
    </row>
    <row r="19" customFormat="false" ht="15" hidden="false" customHeight="false" outlineLevel="0" collapsed="false">
      <c r="A19" s="30" t="s">
        <v>266</v>
      </c>
      <c r="B19" s="59" t="n">
        <f aca="false">모델!$B$8</f>
        <v>4096</v>
      </c>
      <c r="C19" s="59" t="n">
        <f aca="false">모델!$B$34</f>
        <v>14336</v>
      </c>
      <c r="D19" s="59" t="n">
        <f aca="false">IF(모델!$B$34&gt;0,모델!$B$7,0)</f>
        <v>32</v>
      </c>
      <c r="E19" s="2" t="s">
        <v>252</v>
      </c>
      <c r="F19" s="2" t="s">
        <v>69</v>
      </c>
      <c r="G19" s="60" t="n">
        <f aca="false">설정!$B$29</f>
        <v>4</v>
      </c>
      <c r="H19" s="61" t="n">
        <f aca="false">(설정!$B$29/8+IF(설정!$C$29=0,설정!$D$29/8/MAX(1,$B$19),설정!$D$29/8/설정!$C$29))</f>
        <v>0.515625</v>
      </c>
      <c r="I19" s="62" t="n">
        <f aca="false">설정!$B$65</f>
        <v>24000000000000</v>
      </c>
    </row>
    <row r="20" customFormat="false" ht="15" hidden="false" customHeight="false" outlineLevel="0" collapsed="false">
      <c r="A20" s="30" t="s">
        <v>267</v>
      </c>
      <c r="B20" s="59" t="n">
        <f aca="false">모델!$B$34</f>
        <v>14336</v>
      </c>
      <c r="C20" s="59" t="n">
        <f aca="false">모델!$B$8</f>
        <v>4096</v>
      </c>
      <c r="D20" s="59" t="n">
        <f aca="false">IF(모델!$B$34&gt;0,모델!$B$7,0)</f>
        <v>32</v>
      </c>
      <c r="E20" s="2" t="s">
        <v>252</v>
      </c>
      <c r="F20" s="2" t="s">
        <v>69</v>
      </c>
      <c r="G20" s="60" t="n">
        <f aca="false">설정!$B$29</f>
        <v>4</v>
      </c>
      <c r="H20" s="61" t="n">
        <f aca="false">(설정!$B$29/8+IF(설정!$C$29=0,설정!$D$29/8/MAX(1,$B$20),설정!$D$29/8/설정!$C$29))</f>
        <v>0.515625</v>
      </c>
      <c r="I20" s="62" t="n">
        <f aca="false">설정!$B$65</f>
        <v>24000000000000</v>
      </c>
    </row>
    <row r="21" customFormat="false" ht="15" hidden="false" customHeight="false" outlineLevel="0" collapsed="false">
      <c r="A21" s="30" t="s">
        <v>268</v>
      </c>
      <c r="B21" s="59" t="n">
        <f aca="false">모델!$B$8</f>
        <v>4096</v>
      </c>
      <c r="C21" s="59" t="n">
        <f aca="false">모델!$B$38</f>
        <v>0</v>
      </c>
      <c r="D21" s="59" t="n">
        <f aca="false">IF(AND(모델!$B$36&gt;1,모델!$B$35&gt;=3),모델!$B$7,0)</f>
        <v>0</v>
      </c>
      <c r="E21" s="2" t="s">
        <v>269</v>
      </c>
      <c r="F21" s="2" t="s">
        <v>69</v>
      </c>
      <c r="G21" s="60" t="n">
        <f aca="false">설정!$B$29</f>
        <v>4</v>
      </c>
      <c r="H21" s="61" t="n">
        <f aca="false">(설정!$B$29/8+IF(설정!$C$29=0,설정!$D$29/8/MAX(1,$B$21),설정!$D$29/8/설정!$C$29))</f>
        <v>0.515625</v>
      </c>
      <c r="I21" s="62" t="n">
        <f aca="false">설정!$B$65</f>
        <v>24000000000000</v>
      </c>
    </row>
    <row r="22" customFormat="false" ht="15" hidden="false" customHeight="false" outlineLevel="0" collapsed="false">
      <c r="A22" s="30" t="s">
        <v>270</v>
      </c>
      <c r="B22" s="59" t="n">
        <f aca="false">모델!$B$8</f>
        <v>4096</v>
      </c>
      <c r="C22" s="59" t="n">
        <f aca="false">모델!$B$38</f>
        <v>0</v>
      </c>
      <c r="D22" s="59" t="n">
        <f aca="false">IF(모델!$B$36&gt;1,모델!$B$7,0)</f>
        <v>0</v>
      </c>
      <c r="E22" s="2" t="s">
        <v>269</v>
      </c>
      <c r="F22" s="2" t="s">
        <v>69</v>
      </c>
      <c r="G22" s="60" t="n">
        <f aca="false">설정!$B$29</f>
        <v>4</v>
      </c>
      <c r="H22" s="61" t="n">
        <f aca="false">(설정!$B$29/8+IF(설정!$C$29=0,설정!$D$29/8/MAX(1,$B$22),설정!$D$29/8/설정!$C$29))</f>
        <v>0.515625</v>
      </c>
      <c r="I22" s="62" t="n">
        <f aca="false">설정!$B$65</f>
        <v>24000000000000</v>
      </c>
    </row>
    <row r="23" customFormat="false" ht="15" hidden="false" customHeight="false" outlineLevel="0" collapsed="false">
      <c r="A23" s="30" t="s">
        <v>271</v>
      </c>
      <c r="B23" s="59" t="n">
        <f aca="false">모델!$B$38</f>
        <v>0</v>
      </c>
      <c r="C23" s="59" t="n">
        <f aca="false">모델!$B$8</f>
        <v>4096</v>
      </c>
      <c r="D23" s="59" t="n">
        <f aca="false">IF(모델!$B$36&gt;1,모델!$B$7,0)</f>
        <v>0</v>
      </c>
      <c r="E23" s="2" t="s">
        <v>269</v>
      </c>
      <c r="F23" s="2" t="s">
        <v>69</v>
      </c>
      <c r="G23" s="60" t="n">
        <f aca="false">설정!$B$29</f>
        <v>4</v>
      </c>
      <c r="H23" s="61" t="n">
        <f aca="false">(설정!$B$29/8+IF(설정!$C$29=0,설정!$D$29/8/MAX(1,$B$23),설정!$D$29/8/설정!$C$29))</f>
        <v>0.515625</v>
      </c>
      <c r="I23" s="62" t="n">
        <f aca="false">설정!$B$65</f>
        <v>24000000000000</v>
      </c>
    </row>
    <row r="24" customFormat="false" ht="15" hidden="false" customHeight="false" outlineLevel="0" collapsed="false">
      <c r="A24" s="30" t="s">
        <v>272</v>
      </c>
      <c r="B24" s="59" t="n">
        <f aca="false">모델!$B$8</f>
        <v>4096</v>
      </c>
      <c r="C24" s="59" t="n">
        <f aca="false">모델!$B$9</f>
        <v>128256</v>
      </c>
      <c r="D24" s="59" t="n">
        <f aca="false">1</f>
        <v>1</v>
      </c>
      <c r="E24" s="2" t="s">
        <v>273</v>
      </c>
      <c r="F24" s="2" t="s">
        <v>73</v>
      </c>
      <c r="G24" s="60" t="n">
        <f aca="false">설정!$B$31</f>
        <v>4</v>
      </c>
      <c r="H24" s="61" t="n">
        <f aca="false">(설정!$B$31/8+IF(설정!$C$31=0,설정!$D$31/8/MAX(1,$B$24),설정!$D$31/8/설정!$C$31))</f>
        <v>0.515625</v>
      </c>
      <c r="I24" s="62" t="n">
        <f aca="false">설정!$B$67</f>
        <v>24000000000000</v>
      </c>
    </row>
    <row r="25" customFormat="false" ht="17.15" hidden="false" customHeight="false" outlineLevel="0" collapsed="false">
      <c r="A25" s="22" t="s">
        <v>274</v>
      </c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7.15" hidden="false" customHeight="false" outlineLevel="0" collapsed="false">
      <c r="A27" s="28" t="s">
        <v>275</v>
      </c>
      <c r="B27" s="29"/>
      <c r="C27" s="29"/>
      <c r="D27" s="29"/>
      <c r="E27" s="29"/>
      <c r="F27" s="29"/>
      <c r="G27" s="29"/>
      <c r="H27" s="29"/>
      <c r="I27" s="29"/>
    </row>
    <row r="28" customFormat="false" ht="17.15" hidden="false" customHeight="false" outlineLevel="0" collapsed="false">
      <c r="A28" s="7" t="s">
        <v>276</v>
      </c>
      <c r="B28" s="63" t="n">
        <f aca="false">설정!$B$54</f>
        <v>128</v>
      </c>
      <c r="C28" s="63" t="n">
        <f aca="false">설정!$C$54</f>
        <v>256</v>
      </c>
      <c r="D28" s="63" t="n">
        <f aca="false">설정!$D$54</f>
        <v>512</v>
      </c>
      <c r="E28" s="63" t="n">
        <f aca="false">설정!$E$54</f>
        <v>1024</v>
      </c>
      <c r="F28" s="63" t="n">
        <f aca="false">설정!$F$54</f>
        <v>2048</v>
      </c>
      <c r="G28" s="63" t="n">
        <f aca="false">설정!$G$54</f>
        <v>4096</v>
      </c>
      <c r="H28" s="63" t="n">
        <f aca="false">설정!$H$54</f>
        <v>8192</v>
      </c>
      <c r="I28" s="2"/>
    </row>
    <row r="29" customFormat="false" ht="17.15" hidden="false" customHeight="false" outlineLevel="0" collapsed="false">
      <c r="A29" s="33" t="s">
        <v>277</v>
      </c>
      <c r="B29" s="64" t="n">
        <f aca="false">IF(모델!$B$36&gt;1,IF(AND(설정!$B$47="실측",ISNUMBER('Expert 실측'!$B$7)),MIN(모델!$B$36,MAX(1,'Expert 실측'!$B$7)),모델!$B$36*(1-EXP(MAX(-700,B28*LN(1-MIN(모델!$B$37/모델!$B$36,0.999999)))))),1)</f>
        <v>1</v>
      </c>
      <c r="C29" s="64" t="n">
        <f aca="false">IF(모델!$B$36&gt;1,IF(AND(설정!$B$47="실측",ISNUMBER('Expert 실측'!$B$8)),MIN(모델!$B$36,MAX(1,'Expert 실측'!$B$8)),모델!$B$36*(1-EXP(MAX(-700,C28*LN(1-MIN(모델!$B$37/모델!$B$36,0.999999)))))),1)</f>
        <v>1</v>
      </c>
      <c r="D29" s="64" t="n">
        <f aca="false">IF(모델!$B$36&gt;1,IF(AND(설정!$B$47="실측",ISNUMBER('Expert 실측'!$B$9)),MIN(모델!$B$36,MAX(1,'Expert 실측'!$B$9)),모델!$B$36*(1-EXP(MAX(-700,D28*LN(1-MIN(모델!$B$37/모델!$B$36,0.999999)))))),1)</f>
        <v>1</v>
      </c>
      <c r="E29" s="64" t="n">
        <f aca="false">IF(모델!$B$36&gt;1,IF(AND(설정!$B$47="실측",ISNUMBER('Expert 실측'!$B$10)),MIN(모델!$B$36,MAX(1,'Expert 실측'!$B$10)),모델!$B$36*(1-EXP(MAX(-700,E28*LN(1-MIN(모델!$B$37/모델!$B$36,0.999999)))))),1)</f>
        <v>1</v>
      </c>
      <c r="F29" s="64" t="n">
        <f aca="false">IF(모델!$B$36&gt;1,IF(AND(설정!$B$47="실측",ISNUMBER('Expert 실측'!$B$11)),MIN(모델!$B$36,MAX(1,'Expert 실측'!$B$11)),모델!$B$36*(1-EXP(MAX(-700,F28*LN(1-MIN(모델!$B$37/모델!$B$36,0.999999)))))),1)</f>
        <v>1</v>
      </c>
      <c r="G29" s="64" t="n">
        <f aca="false">IF(모델!$B$36&gt;1,IF(AND(설정!$B$47="실측",ISNUMBER('Expert 실측'!$B$12)),MIN(모델!$B$36,MAX(1,'Expert 실측'!$B$12)),모델!$B$36*(1-EXP(MAX(-700,G28*LN(1-MIN(모델!$B$37/모델!$B$36,0.999999)))))),1)</f>
        <v>1</v>
      </c>
      <c r="H29" s="64" t="n">
        <f aca="false">IF(모델!$B$36&gt;1,IF(AND(설정!$B$47="실측",ISNUMBER('Expert 실측'!$B$13)),MIN(모델!$B$36,MAX(1,'Expert 실측'!$B$13)),모델!$B$36*(1-EXP(MAX(-700,H28*LN(1-MIN(모델!$B$37/모델!$B$36,0.999999)))))),1)</f>
        <v>1</v>
      </c>
      <c r="I29" s="2"/>
    </row>
    <row r="30" customFormat="false" ht="17.15" hidden="false" customHeight="false" outlineLevel="0" collapsed="false">
      <c r="A30" s="30" t="s">
        <v>278</v>
      </c>
      <c r="B30" s="65" t="n">
        <f aca="false">IF(모델!$B$36&gt;1,B29/모델!$B$36,1)</f>
        <v>1</v>
      </c>
      <c r="C30" s="65" t="n">
        <f aca="false">IF(모델!$B$36&gt;1,C29/모델!$B$36,1)</f>
        <v>1</v>
      </c>
      <c r="D30" s="65" t="n">
        <f aca="false">IF(모델!$B$36&gt;1,D29/모델!$B$36,1)</f>
        <v>1</v>
      </c>
      <c r="E30" s="65" t="n">
        <f aca="false">IF(모델!$B$36&gt;1,E29/모델!$B$36,1)</f>
        <v>1</v>
      </c>
      <c r="F30" s="65" t="n">
        <f aca="false">IF(모델!$B$36&gt;1,F29/모델!$B$36,1)</f>
        <v>1</v>
      </c>
      <c r="G30" s="65" t="n">
        <f aca="false">IF(모델!$B$36&gt;1,G29/모델!$B$36,1)</f>
        <v>1</v>
      </c>
      <c r="H30" s="65" t="n">
        <f aca="false">IF(모델!$B$36&gt;1,H29/모델!$B$36,1)</f>
        <v>1</v>
      </c>
      <c r="I30" s="32" t="s">
        <v>279</v>
      </c>
    </row>
    <row r="31" customFormat="false" ht="17.15" hidden="false" customHeight="false" outlineLevel="0" collapsed="false">
      <c r="A31" s="30" t="s">
        <v>280</v>
      </c>
      <c r="B31" s="66" t="n">
        <f aca="false">IF(모델!$B$36&gt;1,B28*모델!$B$37/B29,B28)</f>
        <v>128</v>
      </c>
      <c r="C31" s="66" t="n">
        <f aca="false">IF(모델!$B$36&gt;1,C28*모델!$B$37/C29,C28)</f>
        <v>256</v>
      </c>
      <c r="D31" s="66" t="n">
        <f aca="false">IF(모델!$B$36&gt;1,D28*모델!$B$37/D29,D28)</f>
        <v>512</v>
      </c>
      <c r="E31" s="66" t="n">
        <f aca="false">IF(모델!$B$36&gt;1,E28*모델!$B$37/E29,E28)</f>
        <v>1024</v>
      </c>
      <c r="F31" s="66" t="n">
        <f aca="false">IF(모델!$B$36&gt;1,F28*모델!$B$37/F29,F28)</f>
        <v>2048</v>
      </c>
      <c r="G31" s="66" t="n">
        <f aca="false">IF(모델!$B$36&gt;1,G28*모델!$B$37/G29,G28)</f>
        <v>4096</v>
      </c>
      <c r="H31" s="66" t="n">
        <f aca="false">IF(모델!$B$36&gt;1,H28*모델!$B$37/H29,H28)</f>
        <v>8192</v>
      </c>
      <c r="I31" s="2"/>
    </row>
    <row r="32" customFormat="false" ht="17.15" hidden="false" customHeight="false" outlineLevel="0" collapsed="false">
      <c r="A32" s="30" t="s">
        <v>281</v>
      </c>
      <c r="B32" s="67" t="n">
        <f aca="false">($D$5)*2*(B$28)*$B$5*$C$5</f>
        <v>137438953472</v>
      </c>
      <c r="C32" s="67" t="n">
        <f aca="false">($D$5)*2*(C$28)*$B$5*$C$5</f>
        <v>274877906944</v>
      </c>
      <c r="D32" s="67" t="n">
        <f aca="false">($D$5)*2*(D$28)*$B$5*$C$5</f>
        <v>549755813888</v>
      </c>
      <c r="E32" s="67" t="n">
        <f aca="false">($D$5)*2*(E$28)*$B$5*$C$5</f>
        <v>1099511627776</v>
      </c>
      <c r="F32" s="67" t="n">
        <f aca="false">($D$5)*2*(F$28)*$B$5*$C$5</f>
        <v>2199023255552</v>
      </c>
      <c r="G32" s="67" t="n">
        <f aca="false">($D$5)*2*(G$28)*$B$5*$C$5</f>
        <v>4398046511104</v>
      </c>
      <c r="H32" s="67" t="n">
        <f aca="false">($D$5)*2*(H$28)*$B$5*$C$5</f>
        <v>8796093022208</v>
      </c>
      <c r="I32" s="2"/>
    </row>
    <row r="33" customFormat="false" ht="17.15" hidden="false" customHeight="false" outlineLevel="0" collapsed="false">
      <c r="A33" s="30" t="s">
        <v>282</v>
      </c>
      <c r="B33" s="67" t="n">
        <f aca="false">($D$5)*MIN(($B$5*$C$5*$H$5)*MAX(1,ROUNDUP(((B$28)*$B$5*설정!$B$57)/설정!$B$61,0))+((B$28)*$B$5*설정!$B$57)+((B$28)*$C$5*설정!$B$57),($B$5*$C$5*$H$5)+((B$28)*$B$5*설정!$B$57)*MAX(1,ROUNDUP(($B$5*$C$5*$H$5)/설정!$B$61,0))+((B$28)*$C$5*설정!$B$57))</f>
        <v>310378496</v>
      </c>
      <c r="C33" s="67" t="n">
        <f aca="false">($D$5)*MIN(($B$5*$C$5*$H$5)*MAX(1,ROUNDUP(((C$28)*$B$5*설정!$B$57)/설정!$B$61,0))+((C$28)*$B$5*설정!$B$57)+((C$28)*$C$5*설정!$B$57),($B$5*$C$5*$H$5)+((C$28)*$B$5*설정!$B$57)*MAX(1,ROUNDUP(($B$5*$C$5*$H$5)/설정!$B$61,0))+((C$28)*$C$5*설정!$B$57))</f>
        <v>343932928</v>
      </c>
      <c r="D33" s="67" t="n">
        <f aca="false">($D$5)*MIN(($B$5*$C$5*$H$5)*MAX(1,ROUNDUP(((D$28)*$B$5*설정!$B$57)/설정!$B$61,0))+((D$28)*$B$5*설정!$B$57)+((D$28)*$C$5*설정!$B$57),($B$5*$C$5*$H$5)+((D$28)*$B$5*설정!$B$57)*MAX(1,ROUNDUP(($B$5*$C$5*$H$5)/설정!$B$61,0))+((D$28)*$C$5*설정!$B$57))</f>
        <v>687865856</v>
      </c>
      <c r="E33" s="67" t="n">
        <f aca="false">($D$5)*MIN(($B$5*$C$5*$H$5)*MAX(1,ROUNDUP(((E$28)*$B$5*설정!$B$57)/설정!$B$61,0))+((E$28)*$B$5*설정!$B$57)+((E$28)*$C$5*설정!$B$57),($B$5*$C$5*$H$5)+((E$28)*$B$5*설정!$B$57)*MAX(1,ROUNDUP(($B$5*$C$5*$H$5)/설정!$B$61,0))+((E$28)*$C$5*설정!$B$57))</f>
        <v>1098907648</v>
      </c>
      <c r="F33" s="67" t="n">
        <f aca="false">($D$5)*MIN(($B$5*$C$5*$H$5)*MAX(1,ROUNDUP(((F$28)*$B$5*설정!$B$57)/설정!$B$61,0))+((F$28)*$B$5*설정!$B$57)+((F$28)*$C$5*설정!$B$57),($B$5*$C$5*$H$5)+((F$28)*$B$5*설정!$B$57)*MAX(1,ROUNDUP(($B$5*$C$5*$H$5)/설정!$B$61,0))+((F$28)*$C$5*설정!$B$57))</f>
        <v>1920991232</v>
      </c>
      <c r="G33" s="67" t="n">
        <f aca="false">($D$5)*MIN(($B$5*$C$5*$H$5)*MAX(1,ROUNDUP(((G$28)*$B$5*설정!$B$57)/설정!$B$61,0))+((G$28)*$B$5*설정!$B$57)+((G$28)*$C$5*설정!$B$57),($B$5*$C$5*$H$5)+((G$28)*$B$5*설정!$B$57)*MAX(1,ROUNDUP(($B$5*$C$5*$H$5)/설정!$B$61,0))+((G$28)*$C$5*설정!$B$57))</f>
        <v>3841982464</v>
      </c>
      <c r="H33" s="67" t="n">
        <f aca="false">($D$5)*MIN(($B$5*$C$5*$H$5)*MAX(1,ROUNDUP(((H$28)*$B$5*설정!$B$57)/설정!$B$61,0))+((H$28)*$B$5*설정!$B$57)+((H$28)*$C$5*설정!$B$57),($B$5*$C$5*$H$5)+((H$28)*$B$5*설정!$B$57)*MAX(1,ROUNDUP(($B$5*$C$5*$H$5)/설정!$B$61,0))+((H$28)*$C$5*설정!$B$57))</f>
        <v>7683964928</v>
      </c>
      <c r="I33" s="2"/>
    </row>
    <row r="34" customFormat="false" ht="17.15" hidden="false" customHeight="false" outlineLevel="0" collapsed="false">
      <c r="A34" s="30" t="s">
        <v>283</v>
      </c>
      <c r="B34" s="68" t="n">
        <f aca="false">MAX(B32/$I$5,B33/설정!$B$60)*1000</f>
        <v>6.0858528627451</v>
      </c>
      <c r="C34" s="68" t="n">
        <f aca="false">MAX(C32/$I$5,C33/설정!$B$60)*1000</f>
        <v>11.4532461226667</v>
      </c>
      <c r="D34" s="68" t="n">
        <f aca="false">MAX(D32/$I$5,D33/설정!$B$60)*1000</f>
        <v>22.9064922453333</v>
      </c>
      <c r="E34" s="68" t="n">
        <f aca="false">MAX(E32/$I$5,E33/설정!$B$60)*1000</f>
        <v>45.8129844906667</v>
      </c>
      <c r="F34" s="68" t="n">
        <f aca="false">MAX(F32/$I$5,F33/설정!$B$60)*1000</f>
        <v>91.6259689813333</v>
      </c>
      <c r="G34" s="68" t="n">
        <f aca="false">MAX(G32/$I$5,G33/설정!$B$60)*1000</f>
        <v>183.251937962667</v>
      </c>
      <c r="H34" s="68" t="n">
        <f aca="false">MAX(H32/$I$5,H33/설정!$B$60)*1000</f>
        <v>366.503875925333</v>
      </c>
      <c r="I34" s="2"/>
    </row>
    <row r="35" customFormat="false" ht="17.15" hidden="false" customHeight="false" outlineLevel="0" collapsed="false">
      <c r="A35" s="30" t="s">
        <v>284</v>
      </c>
      <c r="B35" s="67" t="n">
        <f aca="false">($D$6)*2*(B$28)*$B$6*$C$6</f>
        <v>34359738368</v>
      </c>
      <c r="C35" s="67" t="n">
        <f aca="false">($D$6)*2*(C$28)*$B$6*$C$6</f>
        <v>68719476736</v>
      </c>
      <c r="D35" s="67" t="n">
        <f aca="false">($D$6)*2*(D$28)*$B$6*$C$6</f>
        <v>137438953472</v>
      </c>
      <c r="E35" s="67" t="n">
        <f aca="false">($D$6)*2*(E$28)*$B$6*$C$6</f>
        <v>274877906944</v>
      </c>
      <c r="F35" s="67" t="n">
        <f aca="false">($D$6)*2*(F$28)*$B$6*$C$6</f>
        <v>549755813888</v>
      </c>
      <c r="G35" s="67" t="n">
        <f aca="false">($D$6)*2*(G$28)*$B$6*$C$6</f>
        <v>1099511627776</v>
      </c>
      <c r="H35" s="67" t="n">
        <f aca="false">($D$6)*2*(H$28)*$B$6*$C$6</f>
        <v>2199023255552</v>
      </c>
      <c r="I35" s="2"/>
    </row>
    <row r="36" customFormat="false" ht="17.15" hidden="false" customHeight="false" outlineLevel="0" collapsed="false">
      <c r="A36" s="30" t="s">
        <v>285</v>
      </c>
      <c r="B36" s="67" t="n">
        <f aca="false">($D$6)*MIN(($B$6*$C$6*$H$6)*MAX(1,ROUNDUP(((B$28)*$B$6*설정!$B$57)/설정!$B$61,0))+((B$28)*$B$6*설정!$B$57)+((B$28)*$C$6*설정!$B$57),($B$6*$C$6*$H$6)+((B$28)*$B$6*설정!$B$57)*MAX(1,ROUNDUP(($B$6*$C$6*$H$6)/설정!$B$61,0))+((B$28)*$C$6*설정!$B$57))</f>
        <v>90177536</v>
      </c>
      <c r="C36" s="67" t="n">
        <f aca="false">($D$6)*MIN(($B$6*$C$6*$H$6)*MAX(1,ROUNDUP(((C$28)*$B$6*설정!$B$57)/설정!$B$61,0))+((C$28)*$B$6*설정!$B$57)+((C$28)*$C$6*설정!$B$57),($B$6*$C$6*$H$6)+((C$28)*$B$6*설정!$B$57)*MAX(1,ROUNDUP(($B$6*$C$6*$H$6)/설정!$B$61,0))+((C$28)*$C$6*설정!$B$57))</f>
        <v>111149056</v>
      </c>
      <c r="D36" s="67" t="n">
        <f aca="false">($D$6)*MIN(($B$6*$C$6*$H$6)*MAX(1,ROUNDUP(((D$28)*$B$6*설정!$B$57)/설정!$B$61,0))+((D$28)*$B$6*설정!$B$57)+((D$28)*$C$6*설정!$B$57),($B$6*$C$6*$H$6)+((D$28)*$B$6*설정!$B$57)*MAX(1,ROUNDUP(($B$6*$C$6*$H$6)/설정!$B$61,0))+((D$28)*$C$6*설정!$B$57))</f>
        <v>220200960</v>
      </c>
      <c r="E36" s="67" t="n">
        <f aca="false">($D$6)*MIN(($B$6*$C$6*$H$6)*MAX(1,ROUNDUP(((E$28)*$B$6*설정!$B$57)/설정!$B$61,0))+((E$28)*$B$6*설정!$B$57)+((E$28)*$C$6*설정!$B$57),($B$6*$C$6*$H$6)+((E$28)*$B$6*설정!$B$57)*MAX(1,ROUNDUP(($B$6*$C$6*$H$6)/설정!$B$61,0))+((E$28)*$C$6*설정!$B$57))</f>
        <v>371195904</v>
      </c>
      <c r="F36" s="67" t="n">
        <f aca="false">($D$6)*MIN(($B$6*$C$6*$H$6)*MAX(1,ROUNDUP(((F$28)*$B$6*설정!$B$57)/설정!$B$61,0))+((F$28)*$B$6*설정!$B$57)+((F$28)*$C$6*설정!$B$57),($B$6*$C$6*$H$6)+((F$28)*$B$6*설정!$B$57)*MAX(1,ROUNDUP(($B$6*$C$6*$H$6)/설정!$B$61,0))+((F$28)*$C$6*설정!$B$57))</f>
        <v>673185792</v>
      </c>
      <c r="G36" s="67" t="n">
        <f aca="false">($D$6)*MIN(($B$6*$C$6*$H$6)*MAX(1,ROUNDUP(((G$28)*$B$6*설정!$B$57)/설정!$B$61,0))+((G$28)*$B$6*설정!$B$57)+((G$28)*$C$6*설정!$B$57),($B$6*$C$6*$H$6)+((G$28)*$B$6*설정!$B$57)*MAX(1,ROUNDUP(($B$6*$C$6*$H$6)/설정!$B$61,0))+((G$28)*$C$6*설정!$B$57))</f>
        <v>1277165568</v>
      </c>
      <c r="H36" s="67" t="n">
        <f aca="false">($D$6)*MIN(($B$6*$C$6*$H$6)*MAX(1,ROUNDUP(((H$28)*$B$6*설정!$B$57)/설정!$B$61,0))+((H$28)*$B$6*설정!$B$57)+((H$28)*$C$6*설정!$B$57),($B$6*$C$6*$H$6)+((H$28)*$B$6*설정!$B$57)*MAX(1,ROUNDUP(($B$6*$C$6*$H$6)/설정!$B$61,0))+((H$28)*$C$6*설정!$B$57))</f>
        <v>2485125120</v>
      </c>
      <c r="I36" s="2"/>
    </row>
    <row r="37" customFormat="false" ht="17.15" hidden="false" customHeight="false" outlineLevel="0" collapsed="false">
      <c r="A37" s="30" t="s">
        <v>286</v>
      </c>
      <c r="B37" s="68" t="n">
        <f aca="false">MAX(B35/$I$6,B36/설정!$B$60)*1000</f>
        <v>1.76818698039216</v>
      </c>
      <c r="C37" s="68" t="n">
        <f aca="false">MAX(C35/$I$6,C36/설정!$B$60)*1000</f>
        <v>2.86331153066667</v>
      </c>
      <c r="D37" s="68" t="n">
        <f aca="false">MAX(D35/$I$6,D36/설정!$B$60)*1000</f>
        <v>5.72662306133333</v>
      </c>
      <c r="E37" s="68" t="n">
        <f aca="false">MAX(E35/$I$6,E36/설정!$B$60)*1000</f>
        <v>11.4532461226667</v>
      </c>
      <c r="F37" s="68" t="n">
        <f aca="false">MAX(F35/$I$6,F36/설정!$B$60)*1000</f>
        <v>22.9064922453333</v>
      </c>
      <c r="G37" s="68" t="n">
        <f aca="false">MAX(G35/$I$6,G36/설정!$B$60)*1000</f>
        <v>45.8129844906667</v>
      </c>
      <c r="H37" s="68" t="n">
        <f aca="false">MAX(H35/$I$6,H36/설정!$B$60)*1000</f>
        <v>91.6259689813333</v>
      </c>
      <c r="I37" s="2"/>
    </row>
    <row r="38" customFormat="false" ht="17.15" hidden="false" customHeight="false" outlineLevel="0" collapsed="false">
      <c r="A38" s="30" t="s">
        <v>287</v>
      </c>
      <c r="B38" s="67" t="n">
        <f aca="false">($D$7)*2*(B$28)*$B$7*$C$7</f>
        <v>34359738368</v>
      </c>
      <c r="C38" s="67" t="n">
        <f aca="false">($D$7)*2*(C$28)*$B$7*$C$7</f>
        <v>68719476736</v>
      </c>
      <c r="D38" s="67" t="n">
        <f aca="false">($D$7)*2*(D$28)*$B$7*$C$7</f>
        <v>137438953472</v>
      </c>
      <c r="E38" s="67" t="n">
        <f aca="false">($D$7)*2*(E$28)*$B$7*$C$7</f>
        <v>274877906944</v>
      </c>
      <c r="F38" s="67" t="n">
        <f aca="false">($D$7)*2*(F$28)*$B$7*$C$7</f>
        <v>549755813888</v>
      </c>
      <c r="G38" s="67" t="n">
        <f aca="false">($D$7)*2*(G$28)*$B$7*$C$7</f>
        <v>1099511627776</v>
      </c>
      <c r="H38" s="67" t="n">
        <f aca="false">($D$7)*2*(H$28)*$B$7*$C$7</f>
        <v>2199023255552</v>
      </c>
      <c r="I38" s="2"/>
    </row>
    <row r="39" customFormat="false" ht="17.15" hidden="false" customHeight="false" outlineLevel="0" collapsed="false">
      <c r="A39" s="30" t="s">
        <v>288</v>
      </c>
      <c r="B39" s="67" t="n">
        <f aca="false">($D$7)*MIN(($B$7*$C$7*$H$7)*MAX(1,ROUNDUP(((B$28)*$B$7*설정!$B$57)/설정!$B$61,0))+((B$28)*$B$7*설정!$B$57)+((B$28)*$C$7*설정!$B$57),($B$7*$C$7*$H$7)+((B$28)*$B$7*설정!$B$57)*MAX(1,ROUNDUP(($B$7*$C$7*$H$7)/설정!$B$61,0))+((B$28)*$C$7*설정!$B$57))</f>
        <v>90177536</v>
      </c>
      <c r="C39" s="67" t="n">
        <f aca="false">($D$7)*MIN(($B$7*$C$7*$H$7)*MAX(1,ROUNDUP(((C$28)*$B$7*설정!$B$57)/설정!$B$61,0))+((C$28)*$B$7*설정!$B$57)+((C$28)*$C$7*설정!$B$57),($B$7*$C$7*$H$7)+((C$28)*$B$7*설정!$B$57)*MAX(1,ROUNDUP(($B$7*$C$7*$H$7)/설정!$B$61,0))+((C$28)*$C$7*설정!$B$57))</f>
        <v>111149056</v>
      </c>
      <c r="D39" s="67" t="n">
        <f aca="false">($D$7)*MIN(($B$7*$C$7*$H$7)*MAX(1,ROUNDUP(((D$28)*$B$7*설정!$B$57)/설정!$B$61,0))+((D$28)*$B$7*설정!$B$57)+((D$28)*$C$7*설정!$B$57),($B$7*$C$7*$H$7)+((D$28)*$B$7*설정!$B$57)*MAX(1,ROUNDUP(($B$7*$C$7*$H$7)/설정!$B$61,0))+((D$28)*$C$7*설정!$B$57))</f>
        <v>220200960</v>
      </c>
      <c r="E39" s="67" t="n">
        <f aca="false">($D$7)*MIN(($B$7*$C$7*$H$7)*MAX(1,ROUNDUP(((E$28)*$B$7*설정!$B$57)/설정!$B$61,0))+((E$28)*$B$7*설정!$B$57)+((E$28)*$C$7*설정!$B$57),($B$7*$C$7*$H$7)+((E$28)*$B$7*설정!$B$57)*MAX(1,ROUNDUP(($B$7*$C$7*$H$7)/설정!$B$61,0))+((E$28)*$C$7*설정!$B$57))</f>
        <v>371195904</v>
      </c>
      <c r="F39" s="67" t="n">
        <f aca="false">($D$7)*MIN(($B$7*$C$7*$H$7)*MAX(1,ROUNDUP(((F$28)*$B$7*설정!$B$57)/설정!$B$61,0))+((F$28)*$B$7*설정!$B$57)+((F$28)*$C$7*설정!$B$57),($B$7*$C$7*$H$7)+((F$28)*$B$7*설정!$B$57)*MAX(1,ROUNDUP(($B$7*$C$7*$H$7)/설정!$B$61,0))+((F$28)*$C$7*설정!$B$57))</f>
        <v>673185792</v>
      </c>
      <c r="G39" s="67" t="n">
        <f aca="false">($D$7)*MIN(($B$7*$C$7*$H$7)*MAX(1,ROUNDUP(((G$28)*$B$7*설정!$B$57)/설정!$B$61,0))+((G$28)*$B$7*설정!$B$57)+((G$28)*$C$7*설정!$B$57),($B$7*$C$7*$H$7)+((G$28)*$B$7*설정!$B$57)*MAX(1,ROUNDUP(($B$7*$C$7*$H$7)/설정!$B$61,0))+((G$28)*$C$7*설정!$B$57))</f>
        <v>1277165568</v>
      </c>
      <c r="H39" s="67" t="n">
        <f aca="false">($D$7)*MIN(($B$7*$C$7*$H$7)*MAX(1,ROUNDUP(((H$28)*$B$7*설정!$B$57)/설정!$B$61,0))+((H$28)*$B$7*설정!$B$57)+((H$28)*$C$7*설정!$B$57),($B$7*$C$7*$H$7)+((H$28)*$B$7*설정!$B$57)*MAX(1,ROUNDUP(($B$7*$C$7*$H$7)/설정!$B$61,0))+((H$28)*$C$7*설정!$B$57))</f>
        <v>2485125120</v>
      </c>
      <c r="I39" s="2"/>
    </row>
    <row r="40" customFormat="false" ht="17.15" hidden="false" customHeight="false" outlineLevel="0" collapsed="false">
      <c r="A40" s="30" t="s">
        <v>289</v>
      </c>
      <c r="B40" s="68" t="n">
        <f aca="false">MAX(B38/$I$7,B39/설정!$B$60)*1000</f>
        <v>1.76818698039216</v>
      </c>
      <c r="C40" s="68" t="n">
        <f aca="false">MAX(C38/$I$7,C39/설정!$B$60)*1000</f>
        <v>2.86331153066667</v>
      </c>
      <c r="D40" s="68" t="n">
        <f aca="false">MAX(D38/$I$7,D39/설정!$B$60)*1000</f>
        <v>5.72662306133333</v>
      </c>
      <c r="E40" s="68" t="n">
        <f aca="false">MAX(E38/$I$7,E39/설정!$B$60)*1000</f>
        <v>11.4532461226667</v>
      </c>
      <c r="F40" s="68" t="n">
        <f aca="false">MAX(F38/$I$7,F39/설정!$B$60)*1000</f>
        <v>22.9064922453333</v>
      </c>
      <c r="G40" s="68" t="n">
        <f aca="false">MAX(G38/$I$7,G39/설정!$B$60)*1000</f>
        <v>45.8129844906667</v>
      </c>
      <c r="H40" s="68" t="n">
        <f aca="false">MAX(H38/$I$7,H39/설정!$B$60)*1000</f>
        <v>91.6259689813333</v>
      </c>
      <c r="I40" s="2"/>
    </row>
    <row r="41" customFormat="false" ht="17.15" hidden="false" customHeight="false" outlineLevel="0" collapsed="false">
      <c r="A41" s="30" t="s">
        <v>290</v>
      </c>
      <c r="B41" s="67" t="n">
        <f aca="false">($D$8)*2*(B$28)*$B$8*$C$8</f>
        <v>137438953472</v>
      </c>
      <c r="C41" s="67" t="n">
        <f aca="false">($D$8)*2*(C$28)*$B$8*$C$8</f>
        <v>274877906944</v>
      </c>
      <c r="D41" s="67" t="n">
        <f aca="false">($D$8)*2*(D$28)*$B$8*$C$8</f>
        <v>549755813888</v>
      </c>
      <c r="E41" s="67" t="n">
        <f aca="false">($D$8)*2*(E$28)*$B$8*$C$8</f>
        <v>1099511627776</v>
      </c>
      <c r="F41" s="67" t="n">
        <f aca="false">($D$8)*2*(F$28)*$B$8*$C$8</f>
        <v>2199023255552</v>
      </c>
      <c r="G41" s="67" t="n">
        <f aca="false">($D$8)*2*(G$28)*$B$8*$C$8</f>
        <v>4398046511104</v>
      </c>
      <c r="H41" s="67" t="n">
        <f aca="false">($D$8)*2*(H$28)*$B$8*$C$8</f>
        <v>8796093022208</v>
      </c>
      <c r="I41" s="2"/>
    </row>
    <row r="42" customFormat="false" ht="17.15" hidden="false" customHeight="false" outlineLevel="0" collapsed="false">
      <c r="A42" s="30" t="s">
        <v>291</v>
      </c>
      <c r="B42" s="67" t="n">
        <f aca="false">($D$8)*MIN(($B$8*$C$8*$H$8)*MAX(1,ROUNDUP(((B$28)*$B$8*설정!$B$57)/설정!$B$61,0))+((B$28)*$B$8*설정!$B$57)+((B$28)*$C$8*설정!$B$57),($B$8*$C$8*$H$8)+((B$28)*$B$8*설정!$B$57)*MAX(1,ROUNDUP(($B$8*$C$8*$H$8)/설정!$B$61,0))+((B$28)*$C$8*설정!$B$57))</f>
        <v>310378496</v>
      </c>
      <c r="C42" s="67" t="n">
        <f aca="false">($D$8)*MIN(($B$8*$C$8*$H$8)*MAX(1,ROUNDUP(((C$28)*$B$8*설정!$B$57)/설정!$B$61,0))+((C$28)*$B$8*설정!$B$57)+((C$28)*$C$8*설정!$B$57),($B$8*$C$8*$H$8)+((C$28)*$B$8*설정!$B$57)*MAX(1,ROUNDUP(($B$8*$C$8*$H$8)/설정!$B$61,0))+((C$28)*$C$8*설정!$B$57))</f>
        <v>343932928</v>
      </c>
      <c r="D42" s="67" t="n">
        <f aca="false">($D$8)*MIN(($B$8*$C$8*$H$8)*MAX(1,ROUNDUP(((D$28)*$B$8*설정!$B$57)/설정!$B$61,0))+((D$28)*$B$8*설정!$B$57)+((D$28)*$C$8*설정!$B$57),($B$8*$C$8*$H$8)+((D$28)*$B$8*설정!$B$57)*MAX(1,ROUNDUP(($B$8*$C$8*$H$8)/설정!$B$61,0))+((D$28)*$C$8*설정!$B$57))</f>
        <v>687865856</v>
      </c>
      <c r="E42" s="67" t="n">
        <f aca="false">($D$8)*MIN(($B$8*$C$8*$H$8)*MAX(1,ROUNDUP(((E$28)*$B$8*설정!$B$57)/설정!$B$61,0))+((E$28)*$B$8*설정!$B$57)+((E$28)*$C$8*설정!$B$57),($B$8*$C$8*$H$8)+((E$28)*$B$8*설정!$B$57)*MAX(1,ROUNDUP(($B$8*$C$8*$H$8)/설정!$B$61,0))+((E$28)*$C$8*설정!$B$57))</f>
        <v>1098907648</v>
      </c>
      <c r="F42" s="67" t="n">
        <f aca="false">($D$8)*MIN(($B$8*$C$8*$H$8)*MAX(1,ROUNDUP(((F$28)*$B$8*설정!$B$57)/설정!$B$61,0))+((F$28)*$B$8*설정!$B$57)+((F$28)*$C$8*설정!$B$57),($B$8*$C$8*$H$8)+((F$28)*$B$8*설정!$B$57)*MAX(1,ROUNDUP(($B$8*$C$8*$H$8)/설정!$B$61,0))+((F$28)*$C$8*설정!$B$57))</f>
        <v>1920991232</v>
      </c>
      <c r="G42" s="67" t="n">
        <f aca="false">($D$8)*MIN(($B$8*$C$8*$H$8)*MAX(1,ROUNDUP(((G$28)*$B$8*설정!$B$57)/설정!$B$61,0))+((G$28)*$B$8*설정!$B$57)+((G$28)*$C$8*설정!$B$57),($B$8*$C$8*$H$8)+((G$28)*$B$8*설정!$B$57)*MAX(1,ROUNDUP(($B$8*$C$8*$H$8)/설정!$B$61,0))+((G$28)*$C$8*설정!$B$57))</f>
        <v>3841982464</v>
      </c>
      <c r="H42" s="67" t="n">
        <f aca="false">($D$8)*MIN(($B$8*$C$8*$H$8)*MAX(1,ROUNDUP(((H$28)*$B$8*설정!$B$57)/설정!$B$61,0))+((H$28)*$B$8*설정!$B$57)+((H$28)*$C$8*설정!$B$57),($B$8*$C$8*$H$8)+((H$28)*$B$8*설정!$B$57)*MAX(1,ROUNDUP(($B$8*$C$8*$H$8)/설정!$B$61,0))+((H$28)*$C$8*설정!$B$57))</f>
        <v>7683964928</v>
      </c>
      <c r="I42" s="2"/>
    </row>
    <row r="43" customFormat="false" ht="17.15" hidden="false" customHeight="false" outlineLevel="0" collapsed="false">
      <c r="A43" s="30" t="s">
        <v>292</v>
      </c>
      <c r="B43" s="68" t="n">
        <f aca="false">MAX(B41/$I$8,B42/설정!$B$60)*1000</f>
        <v>6.0858528627451</v>
      </c>
      <c r="C43" s="68" t="n">
        <f aca="false">MAX(C41/$I$8,C42/설정!$B$60)*1000</f>
        <v>11.4532461226667</v>
      </c>
      <c r="D43" s="68" t="n">
        <f aca="false">MAX(D41/$I$8,D42/설정!$B$60)*1000</f>
        <v>22.9064922453333</v>
      </c>
      <c r="E43" s="68" t="n">
        <f aca="false">MAX(E41/$I$8,E42/설정!$B$60)*1000</f>
        <v>45.8129844906667</v>
      </c>
      <c r="F43" s="68" t="n">
        <f aca="false">MAX(F41/$I$8,F42/설정!$B$60)*1000</f>
        <v>91.6259689813333</v>
      </c>
      <c r="G43" s="68" t="n">
        <f aca="false">MAX(G41/$I$8,G42/설정!$B$60)*1000</f>
        <v>183.251937962667</v>
      </c>
      <c r="H43" s="68" t="n">
        <f aca="false">MAX(H41/$I$8,H42/설정!$B$60)*1000</f>
        <v>366.503875925333</v>
      </c>
      <c r="I43" s="2"/>
    </row>
    <row r="44" customFormat="false" ht="17.15" hidden="false" customHeight="false" outlineLevel="0" collapsed="false">
      <c r="A44" s="30" t="s">
        <v>293</v>
      </c>
      <c r="B44" s="67" t="n">
        <f aca="false">($D$9)*2*(B$28)*$B$9*$C$9</f>
        <v>0</v>
      </c>
      <c r="C44" s="67" t="n">
        <f aca="false">($D$9)*2*(C$28)*$B$9*$C$9</f>
        <v>0</v>
      </c>
      <c r="D44" s="67" t="n">
        <f aca="false">($D$9)*2*(D$28)*$B$9*$C$9</f>
        <v>0</v>
      </c>
      <c r="E44" s="67" t="n">
        <f aca="false">($D$9)*2*(E$28)*$B$9*$C$9</f>
        <v>0</v>
      </c>
      <c r="F44" s="67" t="n">
        <f aca="false">($D$9)*2*(F$28)*$B$9*$C$9</f>
        <v>0</v>
      </c>
      <c r="G44" s="67" t="n">
        <f aca="false">($D$9)*2*(G$28)*$B$9*$C$9</f>
        <v>0</v>
      </c>
      <c r="H44" s="67" t="n">
        <f aca="false">($D$9)*2*(H$28)*$B$9*$C$9</f>
        <v>0</v>
      </c>
      <c r="I44" s="2"/>
    </row>
    <row r="45" customFormat="false" ht="17.15" hidden="false" customHeight="false" outlineLevel="0" collapsed="false">
      <c r="A45" s="30" t="s">
        <v>294</v>
      </c>
      <c r="B45" s="67" t="n">
        <f aca="false">($D$9)*MIN(($B$9*$C$9*$H$9)*MAX(1,ROUNDUP(((B$28)*$B$9*설정!$B$57)/설정!$B$61,0))+((B$28)*$B$9*설정!$B$57)+((B$28)*$C$9*설정!$B$57),($B$9*$C$9*$H$9)+((B$28)*$B$9*설정!$B$57)*MAX(1,ROUNDUP(($B$9*$C$9*$H$9)/설정!$B$61,0))+((B$28)*$C$9*설정!$B$57))</f>
        <v>0</v>
      </c>
      <c r="C45" s="67" t="n">
        <f aca="false">($D$9)*MIN(($B$9*$C$9*$H$9)*MAX(1,ROUNDUP(((C$28)*$B$9*설정!$B$57)/설정!$B$61,0))+((C$28)*$B$9*설정!$B$57)+((C$28)*$C$9*설정!$B$57),($B$9*$C$9*$H$9)+((C$28)*$B$9*설정!$B$57)*MAX(1,ROUNDUP(($B$9*$C$9*$H$9)/설정!$B$61,0))+((C$28)*$C$9*설정!$B$57))</f>
        <v>0</v>
      </c>
      <c r="D45" s="67" t="n">
        <f aca="false">($D$9)*MIN(($B$9*$C$9*$H$9)*MAX(1,ROUNDUP(((D$28)*$B$9*설정!$B$57)/설정!$B$61,0))+((D$28)*$B$9*설정!$B$57)+((D$28)*$C$9*설정!$B$57),($B$9*$C$9*$H$9)+((D$28)*$B$9*설정!$B$57)*MAX(1,ROUNDUP(($B$9*$C$9*$H$9)/설정!$B$61,0))+((D$28)*$C$9*설정!$B$57))</f>
        <v>0</v>
      </c>
      <c r="E45" s="67" t="n">
        <f aca="false">($D$9)*MIN(($B$9*$C$9*$H$9)*MAX(1,ROUNDUP(((E$28)*$B$9*설정!$B$57)/설정!$B$61,0))+((E$28)*$B$9*설정!$B$57)+((E$28)*$C$9*설정!$B$57),($B$9*$C$9*$H$9)+((E$28)*$B$9*설정!$B$57)*MAX(1,ROUNDUP(($B$9*$C$9*$H$9)/설정!$B$61,0))+((E$28)*$C$9*설정!$B$57))</f>
        <v>0</v>
      </c>
      <c r="F45" s="67" t="n">
        <f aca="false">($D$9)*MIN(($B$9*$C$9*$H$9)*MAX(1,ROUNDUP(((F$28)*$B$9*설정!$B$57)/설정!$B$61,0))+((F$28)*$B$9*설정!$B$57)+((F$28)*$C$9*설정!$B$57),($B$9*$C$9*$H$9)+((F$28)*$B$9*설정!$B$57)*MAX(1,ROUNDUP(($B$9*$C$9*$H$9)/설정!$B$61,0))+((F$28)*$C$9*설정!$B$57))</f>
        <v>0</v>
      </c>
      <c r="G45" s="67" t="n">
        <f aca="false">($D$9)*MIN(($B$9*$C$9*$H$9)*MAX(1,ROUNDUP(((G$28)*$B$9*설정!$B$57)/설정!$B$61,0))+((G$28)*$B$9*설정!$B$57)+((G$28)*$C$9*설정!$B$57),($B$9*$C$9*$H$9)+((G$28)*$B$9*설정!$B$57)*MAX(1,ROUNDUP(($B$9*$C$9*$H$9)/설정!$B$61,0))+((G$28)*$C$9*설정!$B$57))</f>
        <v>0</v>
      </c>
      <c r="H45" s="67" t="n">
        <f aca="false">($D$9)*MIN(($B$9*$C$9*$H$9)*MAX(1,ROUNDUP(((H$28)*$B$9*설정!$B$57)/설정!$B$61,0))+((H$28)*$B$9*설정!$B$57)+((H$28)*$C$9*설정!$B$57),($B$9*$C$9*$H$9)+((H$28)*$B$9*설정!$B$57)*MAX(1,ROUNDUP(($B$9*$C$9*$H$9)/설정!$B$61,0))+((H$28)*$C$9*설정!$B$57))</f>
        <v>0</v>
      </c>
      <c r="I45" s="2"/>
    </row>
    <row r="46" customFormat="false" ht="17.15" hidden="false" customHeight="false" outlineLevel="0" collapsed="false">
      <c r="A46" s="30" t="s">
        <v>295</v>
      </c>
      <c r="B46" s="68" t="n">
        <f aca="false">MAX(B44/$I$9,B45/설정!$B$60)*1000</f>
        <v>0</v>
      </c>
      <c r="C46" s="68" t="n">
        <f aca="false">MAX(C44/$I$9,C45/설정!$B$60)*1000</f>
        <v>0</v>
      </c>
      <c r="D46" s="68" t="n">
        <f aca="false">MAX(D44/$I$9,D45/설정!$B$60)*1000</f>
        <v>0</v>
      </c>
      <c r="E46" s="68" t="n">
        <f aca="false">MAX(E44/$I$9,E45/설정!$B$60)*1000</f>
        <v>0</v>
      </c>
      <c r="F46" s="68" t="n">
        <f aca="false">MAX(F44/$I$9,F45/설정!$B$60)*1000</f>
        <v>0</v>
      </c>
      <c r="G46" s="68" t="n">
        <f aca="false">MAX(G44/$I$9,G45/설정!$B$60)*1000</f>
        <v>0</v>
      </c>
      <c r="H46" s="68" t="n">
        <f aca="false">MAX(H44/$I$9,H45/설정!$B$60)*1000</f>
        <v>0</v>
      </c>
      <c r="I46" s="2"/>
    </row>
    <row r="47" customFormat="false" ht="17.15" hidden="false" customHeight="false" outlineLevel="0" collapsed="false">
      <c r="A47" s="30" t="s">
        <v>296</v>
      </c>
      <c r="B47" s="67" t="n">
        <f aca="false">($D$10)*2*(B$28)*$B$10*$C$10</f>
        <v>0</v>
      </c>
      <c r="C47" s="67" t="n">
        <f aca="false">($D$10)*2*(C$28)*$B$10*$C$10</f>
        <v>0</v>
      </c>
      <c r="D47" s="67" t="n">
        <f aca="false">($D$10)*2*(D$28)*$B$10*$C$10</f>
        <v>0</v>
      </c>
      <c r="E47" s="67" t="n">
        <f aca="false">($D$10)*2*(E$28)*$B$10*$C$10</f>
        <v>0</v>
      </c>
      <c r="F47" s="67" t="n">
        <f aca="false">($D$10)*2*(F$28)*$B$10*$C$10</f>
        <v>0</v>
      </c>
      <c r="G47" s="67" t="n">
        <f aca="false">($D$10)*2*(G$28)*$B$10*$C$10</f>
        <v>0</v>
      </c>
      <c r="H47" s="67" t="n">
        <f aca="false">($D$10)*2*(H$28)*$B$10*$C$10</f>
        <v>0</v>
      </c>
      <c r="I47" s="2"/>
    </row>
    <row r="48" customFormat="false" ht="17.15" hidden="false" customHeight="false" outlineLevel="0" collapsed="false">
      <c r="A48" s="30" t="s">
        <v>297</v>
      </c>
      <c r="B48" s="67" t="n">
        <f aca="false">($D$10)*MIN(($B$10*$C$10*$H$10)*MAX(1,ROUNDUP(((B$28)*$B$10*설정!$B$57)/설정!$B$61,0))+((B$28)*$B$10*설정!$B$57)+((B$28)*$C$10*설정!$B$57),($B$10*$C$10*$H$10)+((B$28)*$B$10*설정!$B$57)*MAX(1,ROUNDUP(($B$10*$C$10*$H$10)/설정!$B$61,0))+((B$28)*$C$10*설정!$B$57))</f>
        <v>0</v>
      </c>
      <c r="C48" s="67" t="n">
        <f aca="false">($D$10)*MIN(($B$10*$C$10*$H$10)*MAX(1,ROUNDUP(((C$28)*$B$10*설정!$B$57)/설정!$B$61,0))+((C$28)*$B$10*설정!$B$57)+((C$28)*$C$10*설정!$B$57),($B$10*$C$10*$H$10)+((C$28)*$B$10*설정!$B$57)*MAX(1,ROUNDUP(($B$10*$C$10*$H$10)/설정!$B$61,0))+((C$28)*$C$10*설정!$B$57))</f>
        <v>0</v>
      </c>
      <c r="D48" s="67" t="n">
        <f aca="false">($D$10)*MIN(($B$10*$C$10*$H$10)*MAX(1,ROUNDUP(((D$28)*$B$10*설정!$B$57)/설정!$B$61,0))+((D$28)*$B$10*설정!$B$57)+((D$28)*$C$10*설정!$B$57),($B$10*$C$10*$H$10)+((D$28)*$B$10*설정!$B$57)*MAX(1,ROUNDUP(($B$10*$C$10*$H$10)/설정!$B$61,0))+((D$28)*$C$10*설정!$B$57))</f>
        <v>0</v>
      </c>
      <c r="E48" s="67" t="n">
        <f aca="false">($D$10)*MIN(($B$10*$C$10*$H$10)*MAX(1,ROUNDUP(((E$28)*$B$10*설정!$B$57)/설정!$B$61,0))+((E$28)*$B$10*설정!$B$57)+((E$28)*$C$10*설정!$B$57),($B$10*$C$10*$H$10)+((E$28)*$B$10*설정!$B$57)*MAX(1,ROUNDUP(($B$10*$C$10*$H$10)/설정!$B$61,0))+((E$28)*$C$10*설정!$B$57))</f>
        <v>0</v>
      </c>
      <c r="F48" s="67" t="n">
        <f aca="false">($D$10)*MIN(($B$10*$C$10*$H$10)*MAX(1,ROUNDUP(((F$28)*$B$10*설정!$B$57)/설정!$B$61,0))+((F$28)*$B$10*설정!$B$57)+((F$28)*$C$10*설정!$B$57),($B$10*$C$10*$H$10)+((F$28)*$B$10*설정!$B$57)*MAX(1,ROUNDUP(($B$10*$C$10*$H$10)/설정!$B$61,0))+((F$28)*$C$10*설정!$B$57))</f>
        <v>0</v>
      </c>
      <c r="G48" s="67" t="n">
        <f aca="false">($D$10)*MIN(($B$10*$C$10*$H$10)*MAX(1,ROUNDUP(((G$28)*$B$10*설정!$B$57)/설정!$B$61,0))+((G$28)*$B$10*설정!$B$57)+((G$28)*$C$10*설정!$B$57),($B$10*$C$10*$H$10)+((G$28)*$B$10*설정!$B$57)*MAX(1,ROUNDUP(($B$10*$C$10*$H$10)/설정!$B$61,0))+((G$28)*$C$10*설정!$B$57))</f>
        <v>0</v>
      </c>
      <c r="H48" s="67" t="n">
        <f aca="false">($D$10)*MIN(($B$10*$C$10*$H$10)*MAX(1,ROUNDUP(((H$28)*$B$10*설정!$B$57)/설정!$B$61,0))+((H$28)*$B$10*설정!$B$57)+((H$28)*$C$10*설정!$B$57),($B$10*$C$10*$H$10)+((H$28)*$B$10*설정!$B$57)*MAX(1,ROUNDUP(($B$10*$C$10*$H$10)/설정!$B$61,0))+((H$28)*$C$10*설정!$B$57))</f>
        <v>0</v>
      </c>
      <c r="I48" s="2"/>
    </row>
    <row r="49" customFormat="false" ht="17.15" hidden="false" customHeight="false" outlineLevel="0" collapsed="false">
      <c r="A49" s="30" t="s">
        <v>298</v>
      </c>
      <c r="B49" s="68" t="n">
        <f aca="false">MAX(B47/$I$10,B48/설정!$B$60)*1000</f>
        <v>0</v>
      </c>
      <c r="C49" s="68" t="n">
        <f aca="false">MAX(C47/$I$10,C48/설정!$B$60)*1000</f>
        <v>0</v>
      </c>
      <c r="D49" s="68" t="n">
        <f aca="false">MAX(D47/$I$10,D48/설정!$B$60)*1000</f>
        <v>0</v>
      </c>
      <c r="E49" s="68" t="n">
        <f aca="false">MAX(E47/$I$10,E48/설정!$B$60)*1000</f>
        <v>0</v>
      </c>
      <c r="F49" s="68" t="n">
        <f aca="false">MAX(F47/$I$10,F48/설정!$B$60)*1000</f>
        <v>0</v>
      </c>
      <c r="G49" s="68" t="n">
        <f aca="false">MAX(G47/$I$10,G48/설정!$B$60)*1000</f>
        <v>0</v>
      </c>
      <c r="H49" s="68" t="n">
        <f aca="false">MAX(H47/$I$10,H48/설정!$B$60)*1000</f>
        <v>0</v>
      </c>
      <c r="I49" s="2"/>
    </row>
    <row r="50" customFormat="false" ht="17.15" hidden="false" customHeight="false" outlineLevel="0" collapsed="false">
      <c r="A50" s="30" t="s">
        <v>299</v>
      </c>
      <c r="B50" s="67" t="n">
        <f aca="false">($D$11)*2*(B$28)*$B$11*$C$11</f>
        <v>0</v>
      </c>
      <c r="C50" s="67" t="n">
        <f aca="false">($D$11)*2*(C$28)*$B$11*$C$11</f>
        <v>0</v>
      </c>
      <c r="D50" s="67" t="n">
        <f aca="false">($D$11)*2*(D$28)*$B$11*$C$11</f>
        <v>0</v>
      </c>
      <c r="E50" s="67" t="n">
        <f aca="false">($D$11)*2*(E$28)*$B$11*$C$11</f>
        <v>0</v>
      </c>
      <c r="F50" s="67" t="n">
        <f aca="false">($D$11)*2*(F$28)*$B$11*$C$11</f>
        <v>0</v>
      </c>
      <c r="G50" s="67" t="n">
        <f aca="false">($D$11)*2*(G$28)*$B$11*$C$11</f>
        <v>0</v>
      </c>
      <c r="H50" s="67" t="n">
        <f aca="false">($D$11)*2*(H$28)*$B$11*$C$11</f>
        <v>0</v>
      </c>
      <c r="I50" s="2"/>
    </row>
    <row r="51" customFormat="false" ht="17.15" hidden="false" customHeight="false" outlineLevel="0" collapsed="false">
      <c r="A51" s="30" t="s">
        <v>300</v>
      </c>
      <c r="B51" s="67" t="n">
        <f aca="false">($D$11)*MIN(($B$11*$C$11*$H$11)*MAX(1,ROUNDUP(((B$28)*$B$11*설정!$B$57)/설정!$B$61,0))+((B$28)*$B$11*설정!$B$57)+((B$28)*$C$11*설정!$B$57),($B$11*$C$11*$H$11)+((B$28)*$B$11*설정!$B$57)*MAX(1,ROUNDUP(($B$11*$C$11*$H$11)/설정!$B$61,0))+((B$28)*$C$11*설정!$B$57))</f>
        <v>0</v>
      </c>
      <c r="C51" s="67" t="n">
        <f aca="false">($D$11)*MIN(($B$11*$C$11*$H$11)*MAX(1,ROUNDUP(((C$28)*$B$11*설정!$B$57)/설정!$B$61,0))+((C$28)*$B$11*설정!$B$57)+((C$28)*$C$11*설정!$B$57),($B$11*$C$11*$H$11)+((C$28)*$B$11*설정!$B$57)*MAX(1,ROUNDUP(($B$11*$C$11*$H$11)/설정!$B$61,0))+((C$28)*$C$11*설정!$B$57))</f>
        <v>0</v>
      </c>
      <c r="D51" s="67" t="n">
        <f aca="false">($D$11)*MIN(($B$11*$C$11*$H$11)*MAX(1,ROUNDUP(((D$28)*$B$11*설정!$B$57)/설정!$B$61,0))+((D$28)*$B$11*설정!$B$57)+((D$28)*$C$11*설정!$B$57),($B$11*$C$11*$H$11)+((D$28)*$B$11*설정!$B$57)*MAX(1,ROUNDUP(($B$11*$C$11*$H$11)/설정!$B$61,0))+((D$28)*$C$11*설정!$B$57))</f>
        <v>0</v>
      </c>
      <c r="E51" s="67" t="n">
        <f aca="false">($D$11)*MIN(($B$11*$C$11*$H$11)*MAX(1,ROUNDUP(((E$28)*$B$11*설정!$B$57)/설정!$B$61,0))+((E$28)*$B$11*설정!$B$57)+((E$28)*$C$11*설정!$B$57),($B$11*$C$11*$H$11)+((E$28)*$B$11*설정!$B$57)*MAX(1,ROUNDUP(($B$11*$C$11*$H$11)/설정!$B$61,0))+((E$28)*$C$11*설정!$B$57))</f>
        <v>0</v>
      </c>
      <c r="F51" s="67" t="n">
        <f aca="false">($D$11)*MIN(($B$11*$C$11*$H$11)*MAX(1,ROUNDUP(((F$28)*$B$11*설정!$B$57)/설정!$B$61,0))+((F$28)*$B$11*설정!$B$57)+((F$28)*$C$11*설정!$B$57),($B$11*$C$11*$H$11)+((F$28)*$B$11*설정!$B$57)*MAX(1,ROUNDUP(($B$11*$C$11*$H$11)/설정!$B$61,0))+((F$28)*$C$11*설정!$B$57))</f>
        <v>0</v>
      </c>
      <c r="G51" s="67" t="n">
        <f aca="false">($D$11)*MIN(($B$11*$C$11*$H$11)*MAX(1,ROUNDUP(((G$28)*$B$11*설정!$B$57)/설정!$B$61,0))+((G$28)*$B$11*설정!$B$57)+((G$28)*$C$11*설정!$B$57),($B$11*$C$11*$H$11)+((G$28)*$B$11*설정!$B$57)*MAX(1,ROUNDUP(($B$11*$C$11*$H$11)/설정!$B$61,0))+((G$28)*$C$11*설정!$B$57))</f>
        <v>0</v>
      </c>
      <c r="H51" s="67" t="n">
        <f aca="false">($D$11)*MIN(($B$11*$C$11*$H$11)*MAX(1,ROUNDUP(((H$28)*$B$11*설정!$B$57)/설정!$B$61,0))+((H$28)*$B$11*설정!$B$57)+((H$28)*$C$11*설정!$B$57),($B$11*$C$11*$H$11)+((H$28)*$B$11*설정!$B$57)*MAX(1,ROUNDUP(($B$11*$C$11*$H$11)/설정!$B$61,0))+((H$28)*$C$11*설정!$B$57))</f>
        <v>0</v>
      </c>
      <c r="I51" s="2"/>
    </row>
    <row r="52" customFormat="false" ht="17.15" hidden="false" customHeight="false" outlineLevel="0" collapsed="false">
      <c r="A52" s="30" t="s">
        <v>301</v>
      </c>
      <c r="B52" s="68" t="n">
        <f aca="false">MAX(B50/$I$11,B51/설정!$B$60)*1000</f>
        <v>0</v>
      </c>
      <c r="C52" s="68" t="n">
        <f aca="false">MAX(C50/$I$11,C51/설정!$B$60)*1000</f>
        <v>0</v>
      </c>
      <c r="D52" s="68" t="n">
        <f aca="false">MAX(D50/$I$11,D51/설정!$B$60)*1000</f>
        <v>0</v>
      </c>
      <c r="E52" s="68" t="n">
        <f aca="false">MAX(E50/$I$11,E51/설정!$B$60)*1000</f>
        <v>0</v>
      </c>
      <c r="F52" s="68" t="n">
        <f aca="false">MAX(F50/$I$11,F51/설정!$B$60)*1000</f>
        <v>0</v>
      </c>
      <c r="G52" s="68" t="n">
        <f aca="false">MAX(G50/$I$11,G51/설정!$B$60)*1000</f>
        <v>0</v>
      </c>
      <c r="H52" s="68" t="n">
        <f aca="false">MAX(H50/$I$11,H51/설정!$B$60)*1000</f>
        <v>0</v>
      </c>
      <c r="I52" s="2"/>
    </row>
    <row r="53" customFormat="false" ht="17.15" hidden="false" customHeight="false" outlineLevel="0" collapsed="false">
      <c r="A53" s="30" t="s">
        <v>302</v>
      </c>
      <c r="B53" s="67" t="n">
        <f aca="false">($D$12)*2*(B$28)*$B$12*$C$12</f>
        <v>0</v>
      </c>
      <c r="C53" s="67" t="n">
        <f aca="false">($D$12)*2*(C$28)*$B$12*$C$12</f>
        <v>0</v>
      </c>
      <c r="D53" s="67" t="n">
        <f aca="false">($D$12)*2*(D$28)*$B$12*$C$12</f>
        <v>0</v>
      </c>
      <c r="E53" s="67" t="n">
        <f aca="false">($D$12)*2*(E$28)*$B$12*$C$12</f>
        <v>0</v>
      </c>
      <c r="F53" s="67" t="n">
        <f aca="false">($D$12)*2*(F$28)*$B$12*$C$12</f>
        <v>0</v>
      </c>
      <c r="G53" s="67" t="n">
        <f aca="false">($D$12)*2*(G$28)*$B$12*$C$12</f>
        <v>0</v>
      </c>
      <c r="H53" s="67" t="n">
        <f aca="false">($D$12)*2*(H$28)*$B$12*$C$12</f>
        <v>0</v>
      </c>
      <c r="I53" s="2"/>
    </row>
    <row r="54" customFormat="false" ht="17.15" hidden="false" customHeight="false" outlineLevel="0" collapsed="false">
      <c r="A54" s="30" t="s">
        <v>303</v>
      </c>
      <c r="B54" s="67" t="n">
        <f aca="false">($D$12)*MIN(($B$12*$C$12*$H$12)*MAX(1,ROUNDUP(((B$28)*$B$12*설정!$B$57)/설정!$B$61,0))+((B$28)*$B$12*설정!$B$57)+((B$28)*$C$12*설정!$B$57),($B$12*$C$12*$H$12)+((B$28)*$B$12*설정!$B$57)*MAX(1,ROUNDUP(($B$12*$C$12*$H$12)/설정!$B$61,0))+((B$28)*$C$12*설정!$B$57))</f>
        <v>0</v>
      </c>
      <c r="C54" s="67" t="n">
        <f aca="false">($D$12)*MIN(($B$12*$C$12*$H$12)*MAX(1,ROUNDUP(((C$28)*$B$12*설정!$B$57)/설정!$B$61,0))+((C$28)*$B$12*설정!$B$57)+((C$28)*$C$12*설정!$B$57),($B$12*$C$12*$H$12)+((C$28)*$B$12*설정!$B$57)*MAX(1,ROUNDUP(($B$12*$C$12*$H$12)/설정!$B$61,0))+((C$28)*$C$12*설정!$B$57))</f>
        <v>0</v>
      </c>
      <c r="D54" s="67" t="n">
        <f aca="false">($D$12)*MIN(($B$12*$C$12*$H$12)*MAX(1,ROUNDUP(((D$28)*$B$12*설정!$B$57)/설정!$B$61,0))+((D$28)*$B$12*설정!$B$57)+((D$28)*$C$12*설정!$B$57),($B$12*$C$12*$H$12)+((D$28)*$B$12*설정!$B$57)*MAX(1,ROUNDUP(($B$12*$C$12*$H$12)/설정!$B$61,0))+((D$28)*$C$12*설정!$B$57))</f>
        <v>0</v>
      </c>
      <c r="E54" s="67" t="n">
        <f aca="false">($D$12)*MIN(($B$12*$C$12*$H$12)*MAX(1,ROUNDUP(((E$28)*$B$12*설정!$B$57)/설정!$B$61,0))+((E$28)*$B$12*설정!$B$57)+((E$28)*$C$12*설정!$B$57),($B$12*$C$12*$H$12)+((E$28)*$B$12*설정!$B$57)*MAX(1,ROUNDUP(($B$12*$C$12*$H$12)/설정!$B$61,0))+((E$28)*$C$12*설정!$B$57))</f>
        <v>0</v>
      </c>
      <c r="F54" s="67" t="n">
        <f aca="false">($D$12)*MIN(($B$12*$C$12*$H$12)*MAX(1,ROUNDUP(((F$28)*$B$12*설정!$B$57)/설정!$B$61,0))+((F$28)*$B$12*설정!$B$57)+((F$28)*$C$12*설정!$B$57),($B$12*$C$12*$H$12)+((F$28)*$B$12*설정!$B$57)*MAX(1,ROUNDUP(($B$12*$C$12*$H$12)/설정!$B$61,0))+((F$28)*$C$12*설정!$B$57))</f>
        <v>0</v>
      </c>
      <c r="G54" s="67" t="n">
        <f aca="false">($D$12)*MIN(($B$12*$C$12*$H$12)*MAX(1,ROUNDUP(((G$28)*$B$12*설정!$B$57)/설정!$B$61,0))+((G$28)*$B$12*설정!$B$57)+((G$28)*$C$12*설정!$B$57),($B$12*$C$12*$H$12)+((G$28)*$B$12*설정!$B$57)*MAX(1,ROUNDUP(($B$12*$C$12*$H$12)/설정!$B$61,0))+((G$28)*$C$12*설정!$B$57))</f>
        <v>0</v>
      </c>
      <c r="H54" s="67" t="n">
        <f aca="false">($D$12)*MIN(($B$12*$C$12*$H$12)*MAX(1,ROUNDUP(((H$28)*$B$12*설정!$B$57)/설정!$B$61,0))+((H$28)*$B$12*설정!$B$57)+((H$28)*$C$12*설정!$B$57),($B$12*$C$12*$H$12)+((H$28)*$B$12*설정!$B$57)*MAX(1,ROUNDUP(($B$12*$C$12*$H$12)/설정!$B$61,0))+((H$28)*$C$12*설정!$B$57))</f>
        <v>0</v>
      </c>
      <c r="I54" s="2"/>
    </row>
    <row r="55" customFormat="false" ht="17.15" hidden="false" customHeight="false" outlineLevel="0" collapsed="false">
      <c r="A55" s="30" t="s">
        <v>304</v>
      </c>
      <c r="B55" s="68" t="n">
        <f aca="false">MAX(B53/$I$12,B54/설정!$B$60)*1000</f>
        <v>0</v>
      </c>
      <c r="C55" s="68" t="n">
        <f aca="false">MAX(C53/$I$12,C54/설정!$B$60)*1000</f>
        <v>0</v>
      </c>
      <c r="D55" s="68" t="n">
        <f aca="false">MAX(D53/$I$12,D54/설정!$B$60)*1000</f>
        <v>0</v>
      </c>
      <c r="E55" s="68" t="n">
        <f aca="false">MAX(E53/$I$12,E54/설정!$B$60)*1000</f>
        <v>0</v>
      </c>
      <c r="F55" s="68" t="n">
        <f aca="false">MAX(F53/$I$12,F54/설정!$B$60)*1000</f>
        <v>0</v>
      </c>
      <c r="G55" s="68" t="n">
        <f aca="false">MAX(G53/$I$12,G54/설정!$B$60)*1000</f>
        <v>0</v>
      </c>
      <c r="H55" s="68" t="n">
        <f aca="false">MAX(H53/$I$12,H54/설정!$B$60)*1000</f>
        <v>0</v>
      </c>
      <c r="I55" s="2"/>
    </row>
    <row r="56" customFormat="false" ht="17.15" hidden="false" customHeight="false" outlineLevel="0" collapsed="false">
      <c r="A56" s="30" t="s">
        <v>305</v>
      </c>
      <c r="B56" s="67" t="n">
        <f aca="false">($D$13)*2*(B$28)*$B$13*$C$13</f>
        <v>0</v>
      </c>
      <c r="C56" s="67" t="n">
        <f aca="false">($D$13)*2*(C$28)*$B$13*$C$13</f>
        <v>0</v>
      </c>
      <c r="D56" s="67" t="n">
        <f aca="false">($D$13)*2*(D$28)*$B$13*$C$13</f>
        <v>0</v>
      </c>
      <c r="E56" s="67" t="n">
        <f aca="false">($D$13)*2*(E$28)*$B$13*$C$13</f>
        <v>0</v>
      </c>
      <c r="F56" s="67" t="n">
        <f aca="false">($D$13)*2*(F$28)*$B$13*$C$13</f>
        <v>0</v>
      </c>
      <c r="G56" s="67" t="n">
        <f aca="false">($D$13)*2*(G$28)*$B$13*$C$13</f>
        <v>0</v>
      </c>
      <c r="H56" s="67" t="n">
        <f aca="false">($D$13)*2*(H$28)*$B$13*$C$13</f>
        <v>0</v>
      </c>
      <c r="I56" s="2"/>
    </row>
    <row r="57" customFormat="false" ht="17.15" hidden="false" customHeight="false" outlineLevel="0" collapsed="false">
      <c r="A57" s="30" t="s">
        <v>306</v>
      </c>
      <c r="B57" s="67" t="n">
        <f aca="false">($D$13)*MIN(($B$13*$C$13*$H$13)*MAX(1,ROUNDUP(((B$28)*$B$13*설정!$B$57)/설정!$B$61,0))+((B$28)*$B$13*설정!$B$57)+((B$28)*$C$13*설정!$B$57),($B$13*$C$13*$H$13)+((B$28)*$B$13*설정!$B$57)*MAX(1,ROUNDUP(($B$13*$C$13*$H$13)/설정!$B$61,0))+((B$28)*$C$13*설정!$B$57))</f>
        <v>0</v>
      </c>
      <c r="C57" s="67" t="n">
        <f aca="false">($D$13)*MIN(($B$13*$C$13*$H$13)*MAX(1,ROUNDUP(((C$28)*$B$13*설정!$B$57)/설정!$B$61,0))+((C$28)*$B$13*설정!$B$57)+((C$28)*$C$13*설정!$B$57),($B$13*$C$13*$H$13)+((C$28)*$B$13*설정!$B$57)*MAX(1,ROUNDUP(($B$13*$C$13*$H$13)/설정!$B$61,0))+((C$28)*$C$13*설정!$B$57))</f>
        <v>0</v>
      </c>
      <c r="D57" s="67" t="n">
        <f aca="false">($D$13)*MIN(($B$13*$C$13*$H$13)*MAX(1,ROUNDUP(((D$28)*$B$13*설정!$B$57)/설정!$B$61,0))+((D$28)*$B$13*설정!$B$57)+((D$28)*$C$13*설정!$B$57),($B$13*$C$13*$H$13)+((D$28)*$B$13*설정!$B$57)*MAX(1,ROUNDUP(($B$13*$C$13*$H$13)/설정!$B$61,0))+((D$28)*$C$13*설정!$B$57))</f>
        <v>0</v>
      </c>
      <c r="E57" s="67" t="n">
        <f aca="false">($D$13)*MIN(($B$13*$C$13*$H$13)*MAX(1,ROUNDUP(((E$28)*$B$13*설정!$B$57)/설정!$B$61,0))+((E$28)*$B$13*설정!$B$57)+((E$28)*$C$13*설정!$B$57),($B$13*$C$13*$H$13)+((E$28)*$B$13*설정!$B$57)*MAX(1,ROUNDUP(($B$13*$C$13*$H$13)/설정!$B$61,0))+((E$28)*$C$13*설정!$B$57))</f>
        <v>0</v>
      </c>
      <c r="F57" s="67" t="n">
        <f aca="false">($D$13)*MIN(($B$13*$C$13*$H$13)*MAX(1,ROUNDUP(((F$28)*$B$13*설정!$B$57)/설정!$B$61,0))+((F$28)*$B$13*설정!$B$57)+((F$28)*$C$13*설정!$B$57),($B$13*$C$13*$H$13)+((F$28)*$B$13*설정!$B$57)*MAX(1,ROUNDUP(($B$13*$C$13*$H$13)/설정!$B$61,0))+((F$28)*$C$13*설정!$B$57))</f>
        <v>0</v>
      </c>
      <c r="G57" s="67" t="n">
        <f aca="false">($D$13)*MIN(($B$13*$C$13*$H$13)*MAX(1,ROUNDUP(((G$28)*$B$13*설정!$B$57)/설정!$B$61,0))+((G$28)*$B$13*설정!$B$57)+((G$28)*$C$13*설정!$B$57),($B$13*$C$13*$H$13)+((G$28)*$B$13*설정!$B$57)*MAX(1,ROUNDUP(($B$13*$C$13*$H$13)/설정!$B$61,0))+((G$28)*$C$13*설정!$B$57))</f>
        <v>0</v>
      </c>
      <c r="H57" s="67" t="n">
        <f aca="false">($D$13)*MIN(($B$13*$C$13*$H$13)*MAX(1,ROUNDUP(((H$28)*$B$13*설정!$B$57)/설정!$B$61,0))+((H$28)*$B$13*설정!$B$57)+((H$28)*$C$13*설정!$B$57),($B$13*$C$13*$H$13)+((H$28)*$B$13*설정!$B$57)*MAX(1,ROUNDUP(($B$13*$C$13*$H$13)/설정!$B$61,0))+((H$28)*$C$13*설정!$B$57))</f>
        <v>0</v>
      </c>
      <c r="I57" s="2"/>
    </row>
    <row r="58" customFormat="false" ht="17.15" hidden="false" customHeight="false" outlineLevel="0" collapsed="false">
      <c r="A58" s="30" t="s">
        <v>307</v>
      </c>
      <c r="B58" s="68" t="n">
        <f aca="false">MAX(B56/$I$13,B57/설정!$B$60)*1000</f>
        <v>0</v>
      </c>
      <c r="C58" s="68" t="n">
        <f aca="false">MAX(C56/$I$13,C57/설정!$B$60)*1000</f>
        <v>0</v>
      </c>
      <c r="D58" s="68" t="n">
        <f aca="false">MAX(D56/$I$13,D57/설정!$B$60)*1000</f>
        <v>0</v>
      </c>
      <c r="E58" s="68" t="n">
        <f aca="false">MAX(E56/$I$13,E57/설정!$B$60)*1000</f>
        <v>0</v>
      </c>
      <c r="F58" s="68" t="n">
        <f aca="false">MAX(F56/$I$13,F57/설정!$B$60)*1000</f>
        <v>0</v>
      </c>
      <c r="G58" s="68" t="n">
        <f aca="false">MAX(G56/$I$13,G57/설정!$B$60)*1000</f>
        <v>0</v>
      </c>
      <c r="H58" s="68" t="n">
        <f aca="false">MAX(H56/$I$13,H57/설정!$B$60)*1000</f>
        <v>0</v>
      </c>
      <c r="I58" s="2"/>
    </row>
    <row r="59" customFormat="false" ht="17.15" hidden="false" customHeight="false" outlineLevel="0" collapsed="false">
      <c r="A59" s="30" t="s">
        <v>308</v>
      </c>
      <c r="B59" s="67" t="n">
        <f aca="false">($D$14)*2*(B$28)*$B$14*$C$14</f>
        <v>0</v>
      </c>
      <c r="C59" s="67" t="n">
        <f aca="false">($D$14)*2*(C$28)*$B$14*$C$14</f>
        <v>0</v>
      </c>
      <c r="D59" s="67" t="n">
        <f aca="false">($D$14)*2*(D$28)*$B$14*$C$14</f>
        <v>0</v>
      </c>
      <c r="E59" s="67" t="n">
        <f aca="false">($D$14)*2*(E$28)*$B$14*$C$14</f>
        <v>0</v>
      </c>
      <c r="F59" s="67" t="n">
        <f aca="false">($D$14)*2*(F$28)*$B$14*$C$14</f>
        <v>0</v>
      </c>
      <c r="G59" s="67" t="n">
        <f aca="false">($D$14)*2*(G$28)*$B$14*$C$14</f>
        <v>0</v>
      </c>
      <c r="H59" s="67" t="n">
        <f aca="false">($D$14)*2*(H$28)*$B$14*$C$14</f>
        <v>0</v>
      </c>
      <c r="I59" s="2"/>
    </row>
    <row r="60" customFormat="false" ht="17.15" hidden="false" customHeight="false" outlineLevel="0" collapsed="false">
      <c r="A60" s="30" t="s">
        <v>309</v>
      </c>
      <c r="B60" s="67" t="n">
        <f aca="false">($D$14)*MIN(($B$14*$C$14*$H$14)*MAX(1,ROUNDUP(((B$28)*$B$14*설정!$B$57)/설정!$B$61,0))+((B$28)*$B$14*설정!$B$57)+((B$28)*$C$14*설정!$B$57),($B$14*$C$14*$H$14)+((B$28)*$B$14*설정!$B$57)*MAX(1,ROUNDUP(($B$14*$C$14*$H$14)/설정!$B$61,0))+((B$28)*$C$14*설정!$B$57))</f>
        <v>0</v>
      </c>
      <c r="C60" s="67" t="n">
        <f aca="false">($D$14)*MIN(($B$14*$C$14*$H$14)*MAX(1,ROUNDUP(((C$28)*$B$14*설정!$B$57)/설정!$B$61,0))+((C$28)*$B$14*설정!$B$57)+((C$28)*$C$14*설정!$B$57),($B$14*$C$14*$H$14)+((C$28)*$B$14*설정!$B$57)*MAX(1,ROUNDUP(($B$14*$C$14*$H$14)/설정!$B$61,0))+((C$28)*$C$14*설정!$B$57))</f>
        <v>0</v>
      </c>
      <c r="D60" s="67" t="n">
        <f aca="false">($D$14)*MIN(($B$14*$C$14*$H$14)*MAX(1,ROUNDUP(((D$28)*$B$14*설정!$B$57)/설정!$B$61,0))+((D$28)*$B$14*설정!$B$57)+((D$28)*$C$14*설정!$B$57),($B$14*$C$14*$H$14)+((D$28)*$B$14*설정!$B$57)*MAX(1,ROUNDUP(($B$14*$C$14*$H$14)/설정!$B$61,0))+((D$28)*$C$14*설정!$B$57))</f>
        <v>0</v>
      </c>
      <c r="E60" s="67" t="n">
        <f aca="false">($D$14)*MIN(($B$14*$C$14*$H$14)*MAX(1,ROUNDUP(((E$28)*$B$14*설정!$B$57)/설정!$B$61,0))+((E$28)*$B$14*설정!$B$57)+((E$28)*$C$14*설정!$B$57),($B$14*$C$14*$H$14)+((E$28)*$B$14*설정!$B$57)*MAX(1,ROUNDUP(($B$14*$C$14*$H$14)/설정!$B$61,0))+((E$28)*$C$14*설정!$B$57))</f>
        <v>0</v>
      </c>
      <c r="F60" s="67" t="n">
        <f aca="false">($D$14)*MIN(($B$14*$C$14*$H$14)*MAX(1,ROUNDUP(((F$28)*$B$14*설정!$B$57)/설정!$B$61,0))+((F$28)*$B$14*설정!$B$57)+((F$28)*$C$14*설정!$B$57),($B$14*$C$14*$H$14)+((F$28)*$B$14*설정!$B$57)*MAX(1,ROUNDUP(($B$14*$C$14*$H$14)/설정!$B$61,0))+((F$28)*$C$14*설정!$B$57))</f>
        <v>0</v>
      </c>
      <c r="G60" s="67" t="n">
        <f aca="false">($D$14)*MIN(($B$14*$C$14*$H$14)*MAX(1,ROUNDUP(((G$28)*$B$14*설정!$B$57)/설정!$B$61,0))+((G$28)*$B$14*설정!$B$57)+((G$28)*$C$14*설정!$B$57),($B$14*$C$14*$H$14)+((G$28)*$B$14*설정!$B$57)*MAX(1,ROUNDUP(($B$14*$C$14*$H$14)/설정!$B$61,0))+((G$28)*$C$14*설정!$B$57))</f>
        <v>0</v>
      </c>
      <c r="H60" s="67" t="n">
        <f aca="false">($D$14)*MIN(($B$14*$C$14*$H$14)*MAX(1,ROUNDUP(((H$28)*$B$14*설정!$B$57)/설정!$B$61,0))+((H$28)*$B$14*설정!$B$57)+((H$28)*$C$14*설정!$B$57),($B$14*$C$14*$H$14)+((H$28)*$B$14*설정!$B$57)*MAX(1,ROUNDUP(($B$14*$C$14*$H$14)/설정!$B$61,0))+((H$28)*$C$14*설정!$B$57))</f>
        <v>0</v>
      </c>
      <c r="I60" s="2"/>
    </row>
    <row r="61" customFormat="false" ht="17.15" hidden="false" customHeight="false" outlineLevel="0" collapsed="false">
      <c r="A61" s="30" t="s">
        <v>310</v>
      </c>
      <c r="B61" s="68" t="n">
        <f aca="false">MAX(B59/$I$14,B60/설정!$B$60)*1000</f>
        <v>0</v>
      </c>
      <c r="C61" s="68" t="n">
        <f aca="false">MAX(C59/$I$14,C60/설정!$B$60)*1000</f>
        <v>0</v>
      </c>
      <c r="D61" s="68" t="n">
        <f aca="false">MAX(D59/$I$14,D60/설정!$B$60)*1000</f>
        <v>0</v>
      </c>
      <c r="E61" s="68" t="n">
        <f aca="false">MAX(E59/$I$14,E60/설정!$B$60)*1000</f>
        <v>0</v>
      </c>
      <c r="F61" s="68" t="n">
        <f aca="false">MAX(F59/$I$14,F60/설정!$B$60)*1000</f>
        <v>0</v>
      </c>
      <c r="G61" s="68" t="n">
        <f aca="false">MAX(G59/$I$14,G60/설정!$B$60)*1000</f>
        <v>0</v>
      </c>
      <c r="H61" s="68" t="n">
        <f aca="false">MAX(H59/$I$14,H60/설정!$B$60)*1000</f>
        <v>0</v>
      </c>
      <c r="I61" s="2"/>
    </row>
    <row r="62" customFormat="false" ht="17.15" hidden="false" customHeight="false" outlineLevel="0" collapsed="false">
      <c r="A62" s="30" t="s">
        <v>311</v>
      </c>
      <c r="B62" s="67" t="n">
        <f aca="false">($D$15)*2*(B$28)*$B$15*$C$15</f>
        <v>0</v>
      </c>
      <c r="C62" s="67" t="n">
        <f aca="false">($D$15)*2*(C$28)*$B$15*$C$15</f>
        <v>0</v>
      </c>
      <c r="D62" s="67" t="n">
        <f aca="false">($D$15)*2*(D$28)*$B$15*$C$15</f>
        <v>0</v>
      </c>
      <c r="E62" s="67" t="n">
        <f aca="false">($D$15)*2*(E$28)*$B$15*$C$15</f>
        <v>0</v>
      </c>
      <c r="F62" s="67" t="n">
        <f aca="false">($D$15)*2*(F$28)*$B$15*$C$15</f>
        <v>0</v>
      </c>
      <c r="G62" s="67" t="n">
        <f aca="false">($D$15)*2*(G$28)*$B$15*$C$15</f>
        <v>0</v>
      </c>
      <c r="H62" s="67" t="n">
        <f aca="false">($D$15)*2*(H$28)*$B$15*$C$15</f>
        <v>0</v>
      </c>
      <c r="I62" s="2"/>
    </row>
    <row r="63" customFormat="false" ht="17.15" hidden="false" customHeight="false" outlineLevel="0" collapsed="false">
      <c r="A63" s="30" t="s">
        <v>312</v>
      </c>
      <c r="B63" s="67" t="n">
        <f aca="false">($D$15)*MIN(($B$15*$C$15*$H$15)*MAX(1,ROUNDUP(((B$28)*$B$15*설정!$B$57)/설정!$B$61,0))+((B$28)*$B$15*설정!$B$57)+((B$28)*$C$15*설정!$B$57),($B$15*$C$15*$H$15)+((B$28)*$B$15*설정!$B$57)*MAX(1,ROUNDUP(($B$15*$C$15*$H$15)/설정!$B$61,0))+((B$28)*$C$15*설정!$B$57))</f>
        <v>0</v>
      </c>
      <c r="C63" s="67" t="n">
        <f aca="false">($D$15)*MIN(($B$15*$C$15*$H$15)*MAX(1,ROUNDUP(((C$28)*$B$15*설정!$B$57)/설정!$B$61,0))+((C$28)*$B$15*설정!$B$57)+((C$28)*$C$15*설정!$B$57),($B$15*$C$15*$H$15)+((C$28)*$B$15*설정!$B$57)*MAX(1,ROUNDUP(($B$15*$C$15*$H$15)/설정!$B$61,0))+((C$28)*$C$15*설정!$B$57))</f>
        <v>0</v>
      </c>
      <c r="D63" s="67" t="n">
        <f aca="false">($D$15)*MIN(($B$15*$C$15*$H$15)*MAX(1,ROUNDUP(((D$28)*$B$15*설정!$B$57)/설정!$B$61,0))+((D$28)*$B$15*설정!$B$57)+((D$28)*$C$15*설정!$B$57),($B$15*$C$15*$H$15)+((D$28)*$B$15*설정!$B$57)*MAX(1,ROUNDUP(($B$15*$C$15*$H$15)/설정!$B$61,0))+((D$28)*$C$15*설정!$B$57))</f>
        <v>0</v>
      </c>
      <c r="E63" s="67" t="n">
        <f aca="false">($D$15)*MIN(($B$15*$C$15*$H$15)*MAX(1,ROUNDUP(((E$28)*$B$15*설정!$B$57)/설정!$B$61,0))+((E$28)*$B$15*설정!$B$57)+((E$28)*$C$15*설정!$B$57),($B$15*$C$15*$H$15)+((E$28)*$B$15*설정!$B$57)*MAX(1,ROUNDUP(($B$15*$C$15*$H$15)/설정!$B$61,0))+((E$28)*$C$15*설정!$B$57))</f>
        <v>0</v>
      </c>
      <c r="F63" s="67" t="n">
        <f aca="false">($D$15)*MIN(($B$15*$C$15*$H$15)*MAX(1,ROUNDUP(((F$28)*$B$15*설정!$B$57)/설정!$B$61,0))+((F$28)*$B$15*설정!$B$57)+((F$28)*$C$15*설정!$B$57),($B$15*$C$15*$H$15)+((F$28)*$B$15*설정!$B$57)*MAX(1,ROUNDUP(($B$15*$C$15*$H$15)/설정!$B$61,0))+((F$28)*$C$15*설정!$B$57))</f>
        <v>0</v>
      </c>
      <c r="G63" s="67" t="n">
        <f aca="false">($D$15)*MIN(($B$15*$C$15*$H$15)*MAX(1,ROUNDUP(((G$28)*$B$15*설정!$B$57)/설정!$B$61,0))+((G$28)*$B$15*설정!$B$57)+((G$28)*$C$15*설정!$B$57),($B$15*$C$15*$H$15)+((G$28)*$B$15*설정!$B$57)*MAX(1,ROUNDUP(($B$15*$C$15*$H$15)/설정!$B$61,0))+((G$28)*$C$15*설정!$B$57))</f>
        <v>0</v>
      </c>
      <c r="H63" s="67" t="n">
        <f aca="false">($D$15)*MIN(($B$15*$C$15*$H$15)*MAX(1,ROUNDUP(((H$28)*$B$15*설정!$B$57)/설정!$B$61,0))+((H$28)*$B$15*설정!$B$57)+((H$28)*$C$15*설정!$B$57),($B$15*$C$15*$H$15)+((H$28)*$B$15*설정!$B$57)*MAX(1,ROUNDUP(($B$15*$C$15*$H$15)/설정!$B$61,0))+((H$28)*$C$15*설정!$B$57))</f>
        <v>0</v>
      </c>
      <c r="I63" s="2"/>
    </row>
    <row r="64" customFormat="false" ht="17.15" hidden="false" customHeight="false" outlineLevel="0" collapsed="false">
      <c r="A64" s="30" t="s">
        <v>313</v>
      </c>
      <c r="B64" s="68" t="n">
        <f aca="false">MAX(B62/$I$15,B63/설정!$B$60)*1000</f>
        <v>0</v>
      </c>
      <c r="C64" s="68" t="n">
        <f aca="false">MAX(C62/$I$15,C63/설정!$B$60)*1000</f>
        <v>0</v>
      </c>
      <c r="D64" s="68" t="n">
        <f aca="false">MAX(D62/$I$15,D63/설정!$B$60)*1000</f>
        <v>0</v>
      </c>
      <c r="E64" s="68" t="n">
        <f aca="false">MAX(E62/$I$15,E63/설정!$B$60)*1000</f>
        <v>0</v>
      </c>
      <c r="F64" s="68" t="n">
        <f aca="false">MAX(F62/$I$15,F63/설정!$B$60)*1000</f>
        <v>0</v>
      </c>
      <c r="G64" s="68" t="n">
        <f aca="false">MAX(G62/$I$15,G63/설정!$B$60)*1000</f>
        <v>0</v>
      </c>
      <c r="H64" s="68" t="n">
        <f aca="false">MAX(H62/$I$15,H63/설정!$B$60)*1000</f>
        <v>0</v>
      </c>
      <c r="I64" s="2"/>
    </row>
    <row r="65" customFormat="false" ht="17.15" hidden="false" customHeight="false" outlineLevel="0" collapsed="false">
      <c r="A65" s="30" t="s">
        <v>314</v>
      </c>
      <c r="B65" s="67" t="n">
        <f aca="false">($D$16)*2*(B$28)*$B$16*$C$16</f>
        <v>0</v>
      </c>
      <c r="C65" s="67" t="n">
        <f aca="false">($D$16)*2*(C$28)*$B$16*$C$16</f>
        <v>0</v>
      </c>
      <c r="D65" s="67" t="n">
        <f aca="false">($D$16)*2*(D$28)*$B$16*$C$16</f>
        <v>0</v>
      </c>
      <c r="E65" s="67" t="n">
        <f aca="false">($D$16)*2*(E$28)*$B$16*$C$16</f>
        <v>0</v>
      </c>
      <c r="F65" s="67" t="n">
        <f aca="false">($D$16)*2*(F$28)*$B$16*$C$16</f>
        <v>0</v>
      </c>
      <c r="G65" s="67" t="n">
        <f aca="false">($D$16)*2*(G$28)*$B$16*$C$16</f>
        <v>0</v>
      </c>
      <c r="H65" s="67" t="n">
        <f aca="false">($D$16)*2*(H$28)*$B$16*$C$16</f>
        <v>0</v>
      </c>
      <c r="I65" s="2"/>
    </row>
    <row r="66" customFormat="false" ht="17.15" hidden="false" customHeight="false" outlineLevel="0" collapsed="false">
      <c r="A66" s="30" t="s">
        <v>315</v>
      </c>
      <c r="B66" s="67" t="n">
        <f aca="false">($D$16)*MIN(($B$16*$C$16*$H$16)*MAX(1,ROUNDUP(((B$28)*$B$16*설정!$B$57)/설정!$B$61,0))+((B$28)*$B$16*설정!$B$57)+((B$28)*$C$16*설정!$B$57),($B$16*$C$16*$H$16)+((B$28)*$B$16*설정!$B$57)*MAX(1,ROUNDUP(($B$16*$C$16*$H$16)/설정!$B$61,0))+((B$28)*$C$16*설정!$B$57))</f>
        <v>0</v>
      </c>
      <c r="C66" s="67" t="n">
        <f aca="false">($D$16)*MIN(($B$16*$C$16*$H$16)*MAX(1,ROUNDUP(((C$28)*$B$16*설정!$B$57)/설정!$B$61,0))+((C$28)*$B$16*설정!$B$57)+((C$28)*$C$16*설정!$B$57),($B$16*$C$16*$H$16)+((C$28)*$B$16*설정!$B$57)*MAX(1,ROUNDUP(($B$16*$C$16*$H$16)/설정!$B$61,0))+((C$28)*$C$16*설정!$B$57))</f>
        <v>0</v>
      </c>
      <c r="D66" s="67" t="n">
        <f aca="false">($D$16)*MIN(($B$16*$C$16*$H$16)*MAX(1,ROUNDUP(((D$28)*$B$16*설정!$B$57)/설정!$B$61,0))+((D$28)*$B$16*설정!$B$57)+((D$28)*$C$16*설정!$B$57),($B$16*$C$16*$H$16)+((D$28)*$B$16*설정!$B$57)*MAX(1,ROUNDUP(($B$16*$C$16*$H$16)/설정!$B$61,0))+((D$28)*$C$16*설정!$B$57))</f>
        <v>0</v>
      </c>
      <c r="E66" s="67" t="n">
        <f aca="false">($D$16)*MIN(($B$16*$C$16*$H$16)*MAX(1,ROUNDUP(((E$28)*$B$16*설정!$B$57)/설정!$B$61,0))+((E$28)*$B$16*설정!$B$57)+((E$28)*$C$16*설정!$B$57),($B$16*$C$16*$H$16)+((E$28)*$B$16*설정!$B$57)*MAX(1,ROUNDUP(($B$16*$C$16*$H$16)/설정!$B$61,0))+((E$28)*$C$16*설정!$B$57))</f>
        <v>0</v>
      </c>
      <c r="F66" s="67" t="n">
        <f aca="false">($D$16)*MIN(($B$16*$C$16*$H$16)*MAX(1,ROUNDUP(((F$28)*$B$16*설정!$B$57)/설정!$B$61,0))+((F$28)*$B$16*설정!$B$57)+((F$28)*$C$16*설정!$B$57),($B$16*$C$16*$H$16)+((F$28)*$B$16*설정!$B$57)*MAX(1,ROUNDUP(($B$16*$C$16*$H$16)/설정!$B$61,0))+((F$28)*$C$16*설정!$B$57))</f>
        <v>0</v>
      </c>
      <c r="G66" s="67" t="n">
        <f aca="false">($D$16)*MIN(($B$16*$C$16*$H$16)*MAX(1,ROUNDUP(((G$28)*$B$16*설정!$B$57)/설정!$B$61,0))+((G$28)*$B$16*설정!$B$57)+((G$28)*$C$16*설정!$B$57),($B$16*$C$16*$H$16)+((G$28)*$B$16*설정!$B$57)*MAX(1,ROUNDUP(($B$16*$C$16*$H$16)/설정!$B$61,0))+((G$28)*$C$16*설정!$B$57))</f>
        <v>0</v>
      </c>
      <c r="H66" s="67" t="n">
        <f aca="false">($D$16)*MIN(($B$16*$C$16*$H$16)*MAX(1,ROUNDUP(((H$28)*$B$16*설정!$B$57)/설정!$B$61,0))+((H$28)*$B$16*설정!$B$57)+((H$28)*$C$16*설정!$B$57),($B$16*$C$16*$H$16)+((H$28)*$B$16*설정!$B$57)*MAX(1,ROUNDUP(($B$16*$C$16*$H$16)/설정!$B$61,0))+((H$28)*$C$16*설정!$B$57))</f>
        <v>0</v>
      </c>
      <c r="I66" s="2"/>
    </row>
    <row r="67" customFormat="false" ht="17.15" hidden="false" customHeight="false" outlineLevel="0" collapsed="false">
      <c r="A67" s="30" t="s">
        <v>316</v>
      </c>
      <c r="B67" s="68" t="n">
        <f aca="false">MAX(B65/$I$16,B66/설정!$B$60)*1000</f>
        <v>0</v>
      </c>
      <c r="C67" s="68" t="n">
        <f aca="false">MAX(C65/$I$16,C66/설정!$B$60)*1000</f>
        <v>0</v>
      </c>
      <c r="D67" s="68" t="n">
        <f aca="false">MAX(D65/$I$16,D66/설정!$B$60)*1000</f>
        <v>0</v>
      </c>
      <c r="E67" s="68" t="n">
        <f aca="false">MAX(E65/$I$16,E66/설정!$B$60)*1000</f>
        <v>0</v>
      </c>
      <c r="F67" s="68" t="n">
        <f aca="false">MAX(F65/$I$16,F66/설정!$B$60)*1000</f>
        <v>0</v>
      </c>
      <c r="G67" s="68" t="n">
        <f aca="false">MAX(G65/$I$16,G66/설정!$B$60)*1000</f>
        <v>0</v>
      </c>
      <c r="H67" s="68" t="n">
        <f aca="false">MAX(H65/$I$16,H66/설정!$B$60)*1000</f>
        <v>0</v>
      </c>
      <c r="I67" s="2"/>
    </row>
    <row r="68" customFormat="false" ht="17.15" hidden="false" customHeight="false" outlineLevel="0" collapsed="false">
      <c r="A68" s="30" t="s">
        <v>317</v>
      </c>
      <c r="B68" s="67" t="n">
        <f aca="false">($D$17)*2*(B$28)*$B$17*$C$17</f>
        <v>0</v>
      </c>
      <c r="C68" s="67" t="n">
        <f aca="false">($D$17)*2*(C$28)*$B$17*$C$17</f>
        <v>0</v>
      </c>
      <c r="D68" s="67" t="n">
        <f aca="false">($D$17)*2*(D$28)*$B$17*$C$17</f>
        <v>0</v>
      </c>
      <c r="E68" s="67" t="n">
        <f aca="false">($D$17)*2*(E$28)*$B$17*$C$17</f>
        <v>0</v>
      </c>
      <c r="F68" s="67" t="n">
        <f aca="false">($D$17)*2*(F$28)*$B$17*$C$17</f>
        <v>0</v>
      </c>
      <c r="G68" s="67" t="n">
        <f aca="false">($D$17)*2*(G$28)*$B$17*$C$17</f>
        <v>0</v>
      </c>
      <c r="H68" s="67" t="n">
        <f aca="false">($D$17)*2*(H$28)*$B$17*$C$17</f>
        <v>0</v>
      </c>
      <c r="I68" s="2"/>
    </row>
    <row r="69" customFormat="false" ht="17.15" hidden="false" customHeight="false" outlineLevel="0" collapsed="false">
      <c r="A69" s="30" t="s">
        <v>318</v>
      </c>
      <c r="B69" s="67" t="n">
        <f aca="false">($D$17)*MIN(($B$17*$C$17*$H$17)*MAX(1,ROUNDUP(((B$28)*$B$17*설정!$B$57)/설정!$B$61,0))+((B$28)*$B$17*설정!$B$57)+((B$28)*$C$17*설정!$B$57),($B$17*$C$17*$H$17)+((B$28)*$B$17*설정!$B$57)*MAX(1,ROUNDUP(($B$17*$C$17*$H$17)/설정!$B$61,0))+((B$28)*$C$17*설정!$B$57))</f>
        <v>0</v>
      </c>
      <c r="C69" s="67" t="n">
        <f aca="false">($D$17)*MIN(($B$17*$C$17*$H$17)*MAX(1,ROUNDUP(((C$28)*$B$17*설정!$B$57)/설정!$B$61,0))+((C$28)*$B$17*설정!$B$57)+((C$28)*$C$17*설정!$B$57),($B$17*$C$17*$H$17)+((C$28)*$B$17*설정!$B$57)*MAX(1,ROUNDUP(($B$17*$C$17*$H$17)/설정!$B$61,0))+((C$28)*$C$17*설정!$B$57))</f>
        <v>0</v>
      </c>
      <c r="D69" s="67" t="n">
        <f aca="false">($D$17)*MIN(($B$17*$C$17*$H$17)*MAX(1,ROUNDUP(((D$28)*$B$17*설정!$B$57)/설정!$B$61,0))+((D$28)*$B$17*설정!$B$57)+((D$28)*$C$17*설정!$B$57),($B$17*$C$17*$H$17)+((D$28)*$B$17*설정!$B$57)*MAX(1,ROUNDUP(($B$17*$C$17*$H$17)/설정!$B$61,0))+((D$28)*$C$17*설정!$B$57))</f>
        <v>0</v>
      </c>
      <c r="E69" s="67" t="n">
        <f aca="false">($D$17)*MIN(($B$17*$C$17*$H$17)*MAX(1,ROUNDUP(((E$28)*$B$17*설정!$B$57)/설정!$B$61,0))+((E$28)*$B$17*설정!$B$57)+((E$28)*$C$17*설정!$B$57),($B$17*$C$17*$H$17)+((E$28)*$B$17*설정!$B$57)*MAX(1,ROUNDUP(($B$17*$C$17*$H$17)/설정!$B$61,0))+((E$28)*$C$17*설정!$B$57))</f>
        <v>0</v>
      </c>
      <c r="F69" s="67" t="n">
        <f aca="false">($D$17)*MIN(($B$17*$C$17*$H$17)*MAX(1,ROUNDUP(((F$28)*$B$17*설정!$B$57)/설정!$B$61,0))+((F$28)*$B$17*설정!$B$57)+((F$28)*$C$17*설정!$B$57),($B$17*$C$17*$H$17)+((F$28)*$B$17*설정!$B$57)*MAX(1,ROUNDUP(($B$17*$C$17*$H$17)/설정!$B$61,0))+((F$28)*$C$17*설정!$B$57))</f>
        <v>0</v>
      </c>
      <c r="G69" s="67" t="n">
        <f aca="false">($D$17)*MIN(($B$17*$C$17*$H$17)*MAX(1,ROUNDUP(((G$28)*$B$17*설정!$B$57)/설정!$B$61,0))+((G$28)*$B$17*설정!$B$57)+((G$28)*$C$17*설정!$B$57),($B$17*$C$17*$H$17)+((G$28)*$B$17*설정!$B$57)*MAX(1,ROUNDUP(($B$17*$C$17*$H$17)/설정!$B$61,0))+((G$28)*$C$17*설정!$B$57))</f>
        <v>0</v>
      </c>
      <c r="H69" s="67" t="n">
        <f aca="false">($D$17)*MIN(($B$17*$C$17*$H$17)*MAX(1,ROUNDUP(((H$28)*$B$17*설정!$B$57)/설정!$B$61,0))+((H$28)*$B$17*설정!$B$57)+((H$28)*$C$17*설정!$B$57),($B$17*$C$17*$H$17)+((H$28)*$B$17*설정!$B$57)*MAX(1,ROUNDUP(($B$17*$C$17*$H$17)/설정!$B$61,0))+((H$28)*$C$17*설정!$B$57))</f>
        <v>0</v>
      </c>
      <c r="I69" s="2"/>
    </row>
    <row r="70" customFormat="false" ht="17.15" hidden="false" customHeight="false" outlineLevel="0" collapsed="false">
      <c r="A70" s="30" t="s">
        <v>319</v>
      </c>
      <c r="B70" s="68" t="n">
        <f aca="false">MAX(B68/$I$17,B69/설정!$B$60)*1000</f>
        <v>0</v>
      </c>
      <c r="C70" s="68" t="n">
        <f aca="false">MAX(C68/$I$17,C69/설정!$B$60)*1000</f>
        <v>0</v>
      </c>
      <c r="D70" s="68" t="n">
        <f aca="false">MAX(D68/$I$17,D69/설정!$B$60)*1000</f>
        <v>0</v>
      </c>
      <c r="E70" s="68" t="n">
        <f aca="false">MAX(E68/$I$17,E69/설정!$B$60)*1000</f>
        <v>0</v>
      </c>
      <c r="F70" s="68" t="n">
        <f aca="false">MAX(F68/$I$17,F69/설정!$B$60)*1000</f>
        <v>0</v>
      </c>
      <c r="G70" s="68" t="n">
        <f aca="false">MAX(G68/$I$17,G69/설정!$B$60)*1000</f>
        <v>0</v>
      </c>
      <c r="H70" s="68" t="n">
        <f aca="false">MAX(H68/$I$17,H69/설정!$B$60)*1000</f>
        <v>0</v>
      </c>
      <c r="I70" s="2"/>
    </row>
    <row r="71" customFormat="false" ht="17.15" hidden="false" customHeight="false" outlineLevel="0" collapsed="false">
      <c r="A71" s="30" t="s">
        <v>320</v>
      </c>
      <c r="B71" s="67" t="n">
        <f aca="false">($D$18)*2*(B$28)*$B$18*$C$18</f>
        <v>481036337152</v>
      </c>
      <c r="C71" s="67" t="n">
        <f aca="false">($D$18)*2*(C$28)*$B$18*$C$18</f>
        <v>962072674304</v>
      </c>
      <c r="D71" s="67" t="n">
        <f aca="false">($D$18)*2*(D$28)*$B$18*$C$18</f>
        <v>1924145348608</v>
      </c>
      <c r="E71" s="67" t="n">
        <f aca="false">($D$18)*2*(E$28)*$B$18*$C$18</f>
        <v>3848290697216</v>
      </c>
      <c r="F71" s="67" t="n">
        <f aca="false">($D$18)*2*(F$28)*$B$18*$C$18</f>
        <v>7696581394432</v>
      </c>
      <c r="G71" s="67" t="n">
        <f aca="false">($D$18)*2*(G$28)*$B$18*$C$18</f>
        <v>15393162788864</v>
      </c>
      <c r="H71" s="67" t="n">
        <f aca="false">($D$18)*2*(H$28)*$B$18*$C$18</f>
        <v>30786325577728</v>
      </c>
      <c r="I71" s="2"/>
    </row>
    <row r="72" customFormat="false" ht="17.15" hidden="false" customHeight="false" outlineLevel="0" collapsed="false">
      <c r="A72" s="30" t="s">
        <v>321</v>
      </c>
      <c r="B72" s="67" t="n">
        <f aca="false">($D$18)*MIN(($B$18*$C$18*$H$18)*MAX(1,ROUNDUP(((B$28)*$B$18*설정!$B$57)/설정!$B$61,0))+((B$28)*$B$18*설정!$B$57)+((B$28)*$C$18*설정!$B$57),($B$18*$C$18*$H$18)+((B$28)*$B$18*설정!$B$57)*MAX(1,ROUNDUP(($B$18*$C$18*$H$18)/설정!$B$61,0))+((B$28)*$C$18*설정!$B$57))</f>
        <v>1044381696</v>
      </c>
      <c r="C72" s="67" t="n">
        <f aca="false">($D$18)*MIN(($B$18*$C$18*$H$18)*MAX(1,ROUNDUP(((C$28)*$B$18*설정!$B$57)/설정!$B$61,0))+((C$28)*$B$18*설정!$B$57)+((C$28)*$C$18*설정!$B$57),($B$18*$C$18*$H$18)+((C$28)*$B$18*설정!$B$57)*MAX(1,ROUNDUP(($B$18*$C$18*$H$18)/설정!$B$61,0))+((C$28)*$C$18*설정!$B$57))</f>
        <v>1119879168</v>
      </c>
      <c r="D72" s="67" t="n">
        <f aca="false">($D$18)*MIN(($B$18*$C$18*$H$18)*MAX(1,ROUNDUP(((D$28)*$B$18*설정!$B$57)/설정!$B$61,0))+((D$28)*$B$18*설정!$B$57)+((D$28)*$C$18*설정!$B$57),($B$18*$C$18*$H$18)+((D$28)*$B$18*설정!$B$57)*MAX(1,ROUNDUP(($B$18*$C$18*$H$18)/설정!$B$61,0))+((D$28)*$C$18*설정!$B$57))</f>
        <v>2239758336</v>
      </c>
      <c r="E72" s="67" t="n">
        <f aca="false">($D$18)*MIN(($B$18*$C$18*$H$18)*MAX(1,ROUNDUP(((E$28)*$B$18*설정!$B$57)/설정!$B$61,0))+((E$28)*$B$18*설정!$B$57)+((E$28)*$C$18*설정!$B$57),($B$18*$C$18*$H$18)+((E$28)*$B$18*설정!$B$57)*MAX(1,ROUNDUP(($B$18*$C$18*$H$18)/설정!$B$61,0))+((E$28)*$C$18*설정!$B$57))</f>
        <v>3510632448</v>
      </c>
      <c r="F72" s="67" t="n">
        <f aca="false">($D$18)*MIN(($B$18*$C$18*$H$18)*MAX(1,ROUNDUP(((F$28)*$B$18*설정!$B$57)/설정!$B$61,0))+((F$28)*$B$18*설정!$B$57)+((F$28)*$C$18*설정!$B$57),($B$18*$C$18*$H$18)+((F$28)*$B$18*설정!$B$57)*MAX(1,ROUNDUP(($B$18*$C$18*$H$18)/설정!$B$61,0))+((F$28)*$C$18*설정!$B$57))</f>
        <v>6052380672</v>
      </c>
      <c r="G72" s="67" t="n">
        <f aca="false">($D$18)*MIN(($B$18*$C$18*$H$18)*MAX(1,ROUNDUP(((G$28)*$B$18*설정!$B$57)/설정!$B$61,0))+((G$28)*$B$18*설정!$B$57)+((G$28)*$C$18*설정!$B$57),($B$18*$C$18*$H$18)+((G$28)*$B$18*설정!$B$57)*MAX(1,ROUNDUP(($B$18*$C$18*$H$18)/설정!$B$61,0))+((G$28)*$C$18*설정!$B$57))</f>
        <v>12104761344</v>
      </c>
      <c r="H72" s="67" t="n">
        <f aca="false">($D$18)*MIN(($B$18*$C$18*$H$18)*MAX(1,ROUNDUP(((H$28)*$B$18*설정!$B$57)/설정!$B$61,0))+((H$28)*$B$18*설정!$B$57)+((H$28)*$C$18*설정!$B$57),($B$18*$C$18*$H$18)+((H$28)*$B$18*설정!$B$57)*MAX(1,ROUNDUP(($B$18*$C$18*$H$18)/설정!$B$61,0))+((H$28)*$C$18*설정!$B$57))</f>
        <v>24209522688</v>
      </c>
      <c r="I72" s="2"/>
    </row>
    <row r="73" customFormat="false" ht="17.15" hidden="false" customHeight="false" outlineLevel="0" collapsed="false">
      <c r="A73" s="30" t="s">
        <v>322</v>
      </c>
      <c r="B73" s="68" t="n">
        <f aca="false">MAX(B71/$I$18,B72/설정!$B$60)*1000</f>
        <v>20.4780724705882</v>
      </c>
      <c r="C73" s="68" t="n">
        <f aca="false">MAX(C71/$I$18,C72/설정!$B$60)*1000</f>
        <v>40.0863614293333</v>
      </c>
      <c r="D73" s="68" t="n">
        <f aca="false">MAX(D71/$I$18,D72/설정!$B$60)*1000</f>
        <v>80.1727228586667</v>
      </c>
      <c r="E73" s="68" t="n">
        <f aca="false">MAX(E71/$I$18,E72/설정!$B$60)*1000</f>
        <v>160.345445717333</v>
      </c>
      <c r="F73" s="68" t="n">
        <f aca="false">MAX(F71/$I$18,F72/설정!$B$60)*1000</f>
        <v>320.690891434667</v>
      </c>
      <c r="G73" s="68" t="n">
        <f aca="false">MAX(G71/$I$18,G72/설정!$B$60)*1000</f>
        <v>641.381782869333</v>
      </c>
      <c r="H73" s="68" t="n">
        <f aca="false">MAX(H71/$I$18,H72/설정!$B$60)*1000</f>
        <v>1282.76356573867</v>
      </c>
      <c r="I73" s="2"/>
    </row>
    <row r="74" customFormat="false" ht="17.15" hidden="false" customHeight="false" outlineLevel="0" collapsed="false">
      <c r="A74" s="30" t="s">
        <v>323</v>
      </c>
      <c r="B74" s="67" t="n">
        <f aca="false">($D$19)*2*(B$28)*$B$19*$C$19</f>
        <v>481036337152</v>
      </c>
      <c r="C74" s="67" t="n">
        <f aca="false">($D$19)*2*(C$28)*$B$19*$C$19</f>
        <v>962072674304</v>
      </c>
      <c r="D74" s="67" t="n">
        <f aca="false">($D$19)*2*(D$28)*$B$19*$C$19</f>
        <v>1924145348608</v>
      </c>
      <c r="E74" s="67" t="n">
        <f aca="false">($D$19)*2*(E$28)*$B$19*$C$19</f>
        <v>3848290697216</v>
      </c>
      <c r="F74" s="67" t="n">
        <f aca="false">($D$19)*2*(F$28)*$B$19*$C$19</f>
        <v>7696581394432</v>
      </c>
      <c r="G74" s="67" t="n">
        <f aca="false">($D$19)*2*(G$28)*$B$19*$C$19</f>
        <v>15393162788864</v>
      </c>
      <c r="H74" s="67" t="n">
        <f aca="false">($D$19)*2*(H$28)*$B$19*$C$19</f>
        <v>30786325577728</v>
      </c>
      <c r="I74" s="2"/>
    </row>
    <row r="75" customFormat="false" ht="17.15" hidden="false" customHeight="false" outlineLevel="0" collapsed="false">
      <c r="A75" s="30" t="s">
        <v>324</v>
      </c>
      <c r="B75" s="67" t="n">
        <f aca="false">($D$19)*MIN(($B$19*$C$19*$H$19)*MAX(1,ROUNDUP(((B$28)*$B$19*설정!$B$57)/설정!$B$61,0))+((B$28)*$B$19*설정!$B$57)+((B$28)*$C$19*설정!$B$57),($B$19*$C$19*$H$19)+((B$28)*$B$19*설정!$B$57)*MAX(1,ROUNDUP(($B$19*$C$19*$H$19)/설정!$B$61,0))+((B$28)*$C$19*설정!$B$57))</f>
        <v>1044381696</v>
      </c>
      <c r="C75" s="67" t="n">
        <f aca="false">($D$19)*MIN(($B$19*$C$19*$H$19)*MAX(1,ROUNDUP(((C$28)*$B$19*설정!$B$57)/설정!$B$61,0))+((C$28)*$B$19*설정!$B$57)+((C$28)*$C$19*설정!$B$57),($B$19*$C$19*$H$19)+((C$28)*$B$19*설정!$B$57)*MAX(1,ROUNDUP(($B$19*$C$19*$H$19)/설정!$B$61,0))+((C$28)*$C$19*설정!$B$57))</f>
        <v>1119879168</v>
      </c>
      <c r="D75" s="67" t="n">
        <f aca="false">($D$19)*MIN(($B$19*$C$19*$H$19)*MAX(1,ROUNDUP(((D$28)*$B$19*설정!$B$57)/설정!$B$61,0))+((D$28)*$B$19*설정!$B$57)+((D$28)*$C$19*설정!$B$57),($B$19*$C$19*$H$19)+((D$28)*$B$19*설정!$B$57)*MAX(1,ROUNDUP(($B$19*$C$19*$H$19)/설정!$B$61,0))+((D$28)*$C$19*설정!$B$57))</f>
        <v>2239758336</v>
      </c>
      <c r="E75" s="67" t="n">
        <f aca="false">($D$19)*MIN(($B$19*$C$19*$H$19)*MAX(1,ROUNDUP(((E$28)*$B$19*설정!$B$57)/설정!$B$61,0))+((E$28)*$B$19*설정!$B$57)+((E$28)*$C$19*설정!$B$57),($B$19*$C$19*$H$19)+((E$28)*$B$19*설정!$B$57)*MAX(1,ROUNDUP(($B$19*$C$19*$H$19)/설정!$B$61,0))+((E$28)*$C$19*설정!$B$57))</f>
        <v>3510632448</v>
      </c>
      <c r="F75" s="67" t="n">
        <f aca="false">($D$19)*MIN(($B$19*$C$19*$H$19)*MAX(1,ROUNDUP(((F$28)*$B$19*설정!$B$57)/설정!$B$61,0))+((F$28)*$B$19*설정!$B$57)+((F$28)*$C$19*설정!$B$57),($B$19*$C$19*$H$19)+((F$28)*$B$19*설정!$B$57)*MAX(1,ROUNDUP(($B$19*$C$19*$H$19)/설정!$B$61,0))+((F$28)*$C$19*설정!$B$57))</f>
        <v>6052380672</v>
      </c>
      <c r="G75" s="67" t="n">
        <f aca="false">($D$19)*MIN(($B$19*$C$19*$H$19)*MAX(1,ROUNDUP(((G$28)*$B$19*설정!$B$57)/설정!$B$61,0))+((G$28)*$B$19*설정!$B$57)+((G$28)*$C$19*설정!$B$57),($B$19*$C$19*$H$19)+((G$28)*$B$19*설정!$B$57)*MAX(1,ROUNDUP(($B$19*$C$19*$H$19)/설정!$B$61,0))+((G$28)*$C$19*설정!$B$57))</f>
        <v>12104761344</v>
      </c>
      <c r="H75" s="67" t="n">
        <f aca="false">($D$19)*MIN(($B$19*$C$19*$H$19)*MAX(1,ROUNDUP(((H$28)*$B$19*설정!$B$57)/설정!$B$61,0))+((H$28)*$B$19*설정!$B$57)+((H$28)*$C$19*설정!$B$57),($B$19*$C$19*$H$19)+((H$28)*$B$19*설정!$B$57)*MAX(1,ROUNDUP(($B$19*$C$19*$H$19)/설정!$B$61,0))+((H$28)*$C$19*설정!$B$57))</f>
        <v>24209522688</v>
      </c>
      <c r="I75" s="2"/>
    </row>
    <row r="76" customFormat="false" ht="17.15" hidden="false" customHeight="false" outlineLevel="0" collapsed="false">
      <c r="A76" s="30" t="s">
        <v>325</v>
      </c>
      <c r="B76" s="68" t="n">
        <f aca="false">MAX(B74/$I$19,B75/설정!$B$60)*1000</f>
        <v>20.4780724705882</v>
      </c>
      <c r="C76" s="68" t="n">
        <f aca="false">MAX(C74/$I$19,C75/설정!$B$60)*1000</f>
        <v>40.0863614293333</v>
      </c>
      <c r="D76" s="68" t="n">
        <f aca="false">MAX(D74/$I$19,D75/설정!$B$60)*1000</f>
        <v>80.1727228586667</v>
      </c>
      <c r="E76" s="68" t="n">
        <f aca="false">MAX(E74/$I$19,E75/설정!$B$60)*1000</f>
        <v>160.345445717333</v>
      </c>
      <c r="F76" s="68" t="n">
        <f aca="false">MAX(F74/$I$19,F75/설정!$B$60)*1000</f>
        <v>320.690891434667</v>
      </c>
      <c r="G76" s="68" t="n">
        <f aca="false">MAX(G74/$I$19,G75/설정!$B$60)*1000</f>
        <v>641.381782869333</v>
      </c>
      <c r="H76" s="68" t="n">
        <f aca="false">MAX(H74/$I$19,H75/설정!$B$60)*1000</f>
        <v>1282.76356573867</v>
      </c>
      <c r="I76" s="2"/>
    </row>
    <row r="77" customFormat="false" ht="17.15" hidden="false" customHeight="false" outlineLevel="0" collapsed="false">
      <c r="A77" s="30" t="s">
        <v>326</v>
      </c>
      <c r="B77" s="67" t="n">
        <f aca="false">($D$20)*2*(B$28)*$B$20*$C$20</f>
        <v>481036337152</v>
      </c>
      <c r="C77" s="67" t="n">
        <f aca="false">($D$20)*2*(C$28)*$B$20*$C$20</f>
        <v>962072674304</v>
      </c>
      <c r="D77" s="67" t="n">
        <f aca="false">($D$20)*2*(D$28)*$B$20*$C$20</f>
        <v>1924145348608</v>
      </c>
      <c r="E77" s="67" t="n">
        <f aca="false">($D$20)*2*(E$28)*$B$20*$C$20</f>
        <v>3848290697216</v>
      </c>
      <c r="F77" s="67" t="n">
        <f aca="false">($D$20)*2*(F$28)*$B$20*$C$20</f>
        <v>7696581394432</v>
      </c>
      <c r="G77" s="67" t="n">
        <f aca="false">($D$20)*2*(G$28)*$B$20*$C$20</f>
        <v>15393162788864</v>
      </c>
      <c r="H77" s="67" t="n">
        <f aca="false">($D$20)*2*(H$28)*$B$20*$C$20</f>
        <v>30786325577728</v>
      </c>
      <c r="I77" s="2"/>
    </row>
    <row r="78" customFormat="false" ht="17.15" hidden="false" customHeight="false" outlineLevel="0" collapsed="false">
      <c r="A78" s="30" t="s">
        <v>327</v>
      </c>
      <c r="B78" s="67" t="n">
        <f aca="false">($D$20)*MIN(($B$20*$C$20*$H$20)*MAX(1,ROUNDUP(((B$28)*$B$20*설정!$B$57)/설정!$B$61,0))+((B$28)*$B$20*설정!$B$57)+((B$28)*$C$20*설정!$B$57),($B$20*$C$20*$H$20)+((B$28)*$B$20*설정!$B$57)*MAX(1,ROUNDUP(($B$20*$C$20*$H$20)/설정!$B$61,0))+((B$28)*$C$20*설정!$B$57))</f>
        <v>2013265920</v>
      </c>
      <c r="C78" s="67" t="n">
        <f aca="false">($D$20)*MIN(($B$20*$C$20*$H$20)*MAX(1,ROUNDUP(((C$28)*$B$20*설정!$B$57)/설정!$B$61,0))+((C$28)*$B$20*설정!$B$57)+((C$28)*$C$20*설정!$B$57),($B$20*$C$20*$H$20)+((C$28)*$B$20*설정!$B$57)*MAX(1,ROUNDUP(($B$20*$C$20*$H$20)/설정!$B$61,0))+((C$28)*$C$20*설정!$B$57))</f>
        <v>3057647616</v>
      </c>
      <c r="D78" s="67" t="n">
        <f aca="false">($D$20)*MIN(($B$20*$C$20*$H$20)*MAX(1,ROUNDUP(((D$28)*$B$20*설정!$B$57)/설정!$B$61,0))+((D$28)*$B$20*설정!$B$57)+((D$28)*$C$20*설정!$B$57),($B$20*$C$20*$H$20)+((D$28)*$B$20*설정!$B$57)*MAX(1,ROUNDUP(($B$20*$C$20*$H$20)/설정!$B$61,0))+((D$28)*$C$20*설정!$B$57))</f>
        <v>5146411008</v>
      </c>
      <c r="E78" s="67" t="n">
        <f aca="false">($D$20)*MIN(($B$20*$C$20*$H$20)*MAX(1,ROUNDUP(((E$28)*$B$20*설정!$B$57)/설정!$B$61,0))+((E$28)*$B$20*설정!$B$57)+((E$28)*$C$20*설정!$B$57),($B$20*$C$20*$H$20)+((E$28)*$B$20*설정!$B$57)*MAX(1,ROUNDUP(($B$20*$C$20*$H$20)/설정!$B$61,0))+((E$28)*$C$20*설정!$B$57))</f>
        <v>9323937792</v>
      </c>
      <c r="F78" s="67" t="n">
        <f aca="false">($D$20)*MIN(($B$20*$C$20*$H$20)*MAX(1,ROUNDUP(((F$28)*$B$20*설정!$B$57)/설정!$B$61,0))+((F$28)*$B$20*설정!$B$57)+((F$28)*$C$20*설정!$B$57),($B$20*$C$20*$H$20)+((F$28)*$B$20*설정!$B$57)*MAX(1,ROUNDUP(($B$20*$C$20*$H$20)/설정!$B$61,0))+((F$28)*$C$20*설정!$B$57))</f>
        <v>18647875584</v>
      </c>
      <c r="G78" s="67" t="n">
        <f aca="false">($D$20)*MIN(($B$20*$C$20*$H$20)*MAX(1,ROUNDUP(((G$28)*$B$20*설정!$B$57)/설정!$B$61,0))+((G$28)*$B$20*설정!$B$57)+((G$28)*$C$20*설정!$B$57),($B$20*$C$20*$H$20)+((G$28)*$B$20*설정!$B$57)*MAX(1,ROUNDUP(($B$20*$C$20*$H$20)/설정!$B$61,0))+((G$28)*$C$20*설정!$B$57))</f>
        <v>36326866944</v>
      </c>
      <c r="H78" s="67" t="n">
        <f aca="false">($D$20)*MIN(($B$20*$C$20*$H$20)*MAX(1,ROUNDUP(((H$28)*$B$20*설정!$B$57)/설정!$B$61,0))+((H$28)*$B$20*설정!$B$57)+((H$28)*$C$20*설정!$B$57),($B$20*$C$20*$H$20)+((H$28)*$B$20*설정!$B$57)*MAX(1,ROUNDUP(($B$20*$C$20*$H$20)/설정!$B$61,0))+((H$28)*$C$20*설정!$B$57))</f>
        <v>72653733888</v>
      </c>
      <c r="I78" s="2"/>
    </row>
    <row r="79" customFormat="false" ht="17.15" hidden="false" customHeight="false" outlineLevel="0" collapsed="false">
      <c r="A79" s="30" t="s">
        <v>328</v>
      </c>
      <c r="B79" s="68" t="n">
        <f aca="false">MAX(B77/$I$20,B78/설정!$B$60)*1000</f>
        <v>39.4758023529412</v>
      </c>
      <c r="C79" s="68" t="n">
        <f aca="false">MAX(C77/$I$20,C78/설정!$B$60)*1000</f>
        <v>59.9538748235294</v>
      </c>
      <c r="D79" s="68" t="n">
        <f aca="false">MAX(D77/$I$20,D78/설정!$B$60)*1000</f>
        <v>100.910019764706</v>
      </c>
      <c r="E79" s="68" t="n">
        <f aca="false">MAX(E77/$I$20,E78/설정!$B$60)*1000</f>
        <v>182.822309647059</v>
      </c>
      <c r="F79" s="68" t="n">
        <f aca="false">MAX(F77/$I$20,F78/설정!$B$60)*1000</f>
        <v>365.644619294118</v>
      </c>
      <c r="G79" s="68" t="n">
        <f aca="false">MAX(G77/$I$20,G78/설정!$B$60)*1000</f>
        <v>712.291508705882</v>
      </c>
      <c r="H79" s="68" t="n">
        <f aca="false">MAX(H77/$I$20,H78/설정!$B$60)*1000</f>
        <v>1424.58301741176</v>
      </c>
      <c r="I79" s="2"/>
    </row>
    <row r="80" customFormat="false" ht="17.15" hidden="false" customHeight="false" outlineLevel="0" collapsed="false">
      <c r="A80" s="30" t="s">
        <v>329</v>
      </c>
      <c r="B80" s="67" t="n">
        <f aca="false">($D$21*B$29)*2*(B$31)*$B$21*$C$21</f>
        <v>0</v>
      </c>
      <c r="C80" s="67" t="n">
        <f aca="false">($D$21*C$29)*2*(C$31)*$B$21*$C$21</f>
        <v>0</v>
      </c>
      <c r="D80" s="67" t="n">
        <f aca="false">($D$21*D$29)*2*(D$31)*$B$21*$C$21</f>
        <v>0</v>
      </c>
      <c r="E80" s="67" t="n">
        <f aca="false">($D$21*E$29)*2*(E$31)*$B$21*$C$21</f>
        <v>0</v>
      </c>
      <c r="F80" s="67" t="n">
        <f aca="false">($D$21*F$29)*2*(F$31)*$B$21*$C$21</f>
        <v>0</v>
      </c>
      <c r="G80" s="67" t="n">
        <f aca="false">($D$21*G$29)*2*(G$31)*$B$21*$C$21</f>
        <v>0</v>
      </c>
      <c r="H80" s="67" t="n">
        <f aca="false">($D$21*H$29)*2*(H$31)*$B$21*$C$21</f>
        <v>0</v>
      </c>
      <c r="I80" s="2"/>
    </row>
    <row r="81" customFormat="false" ht="17.15" hidden="false" customHeight="false" outlineLevel="0" collapsed="false">
      <c r="A81" s="30" t="s">
        <v>330</v>
      </c>
      <c r="B81" s="67" t="n">
        <f aca="false">($D$21*B$29)*MIN(($B$21*$C$21*$H$21)*MAX(1,ROUNDUP(((B$31)*$B$21*설정!$B$57)/설정!$B$61,0))+((B$31)*$B$21*설정!$B$57)+((B$31)*$C$21*설정!$B$57),($B$21*$C$21*$H$21)+((B$31)*$B$21*설정!$B$57)*MAX(1,ROUNDUP(($B$21*$C$21*$H$21)/설정!$B$61,0))+((B$31)*$C$21*설정!$B$57))</f>
        <v>0</v>
      </c>
      <c r="C81" s="67" t="n">
        <f aca="false">($D$21*C$29)*MIN(($B$21*$C$21*$H$21)*MAX(1,ROUNDUP(((C$31)*$B$21*설정!$B$57)/설정!$B$61,0))+((C$31)*$B$21*설정!$B$57)+((C$31)*$C$21*설정!$B$57),($B$21*$C$21*$H$21)+((C$31)*$B$21*설정!$B$57)*MAX(1,ROUNDUP(($B$21*$C$21*$H$21)/설정!$B$61,0))+((C$31)*$C$21*설정!$B$57))</f>
        <v>0</v>
      </c>
      <c r="D81" s="67" t="n">
        <f aca="false">($D$21*D$29)*MIN(($B$21*$C$21*$H$21)*MAX(1,ROUNDUP(((D$31)*$B$21*설정!$B$57)/설정!$B$61,0))+((D$31)*$B$21*설정!$B$57)+((D$31)*$C$21*설정!$B$57),($B$21*$C$21*$H$21)+((D$31)*$B$21*설정!$B$57)*MAX(1,ROUNDUP(($B$21*$C$21*$H$21)/설정!$B$61,0))+((D$31)*$C$21*설정!$B$57))</f>
        <v>0</v>
      </c>
      <c r="E81" s="67" t="n">
        <f aca="false">($D$21*E$29)*MIN(($B$21*$C$21*$H$21)*MAX(1,ROUNDUP(((E$31)*$B$21*설정!$B$57)/설정!$B$61,0))+((E$31)*$B$21*설정!$B$57)+((E$31)*$C$21*설정!$B$57),($B$21*$C$21*$H$21)+((E$31)*$B$21*설정!$B$57)*MAX(1,ROUNDUP(($B$21*$C$21*$H$21)/설정!$B$61,0))+((E$31)*$C$21*설정!$B$57))</f>
        <v>0</v>
      </c>
      <c r="F81" s="67" t="n">
        <f aca="false">($D$21*F$29)*MIN(($B$21*$C$21*$H$21)*MAX(1,ROUNDUP(((F$31)*$B$21*설정!$B$57)/설정!$B$61,0))+((F$31)*$B$21*설정!$B$57)+((F$31)*$C$21*설정!$B$57),($B$21*$C$21*$H$21)+((F$31)*$B$21*설정!$B$57)*MAX(1,ROUNDUP(($B$21*$C$21*$H$21)/설정!$B$61,0))+((F$31)*$C$21*설정!$B$57))</f>
        <v>0</v>
      </c>
      <c r="G81" s="67" t="n">
        <f aca="false">($D$21*G$29)*MIN(($B$21*$C$21*$H$21)*MAX(1,ROUNDUP(((G$31)*$B$21*설정!$B$57)/설정!$B$61,0))+((G$31)*$B$21*설정!$B$57)+((G$31)*$C$21*설정!$B$57),($B$21*$C$21*$H$21)+((G$31)*$B$21*설정!$B$57)*MAX(1,ROUNDUP(($B$21*$C$21*$H$21)/설정!$B$61,0))+((G$31)*$C$21*설정!$B$57))</f>
        <v>0</v>
      </c>
      <c r="H81" s="67" t="n">
        <f aca="false">($D$21*H$29)*MIN(($B$21*$C$21*$H$21)*MAX(1,ROUNDUP(((H$31)*$B$21*설정!$B$57)/설정!$B$61,0))+((H$31)*$B$21*설정!$B$57)+((H$31)*$C$21*설정!$B$57),($B$21*$C$21*$H$21)+((H$31)*$B$21*설정!$B$57)*MAX(1,ROUNDUP(($B$21*$C$21*$H$21)/설정!$B$61,0))+((H$31)*$C$21*설정!$B$57))</f>
        <v>0</v>
      </c>
      <c r="I81" s="2"/>
    </row>
    <row r="82" customFormat="false" ht="17.15" hidden="false" customHeight="false" outlineLevel="0" collapsed="false">
      <c r="A82" s="30" t="s">
        <v>331</v>
      </c>
      <c r="B82" s="68" t="n">
        <f aca="false">MAX(B80/$I$21,B81/설정!$B$60)*1000</f>
        <v>0</v>
      </c>
      <c r="C82" s="68" t="n">
        <f aca="false">MAX(C80/$I$21,C81/설정!$B$60)*1000</f>
        <v>0</v>
      </c>
      <c r="D82" s="68" t="n">
        <f aca="false">MAX(D80/$I$21,D81/설정!$B$60)*1000</f>
        <v>0</v>
      </c>
      <c r="E82" s="68" t="n">
        <f aca="false">MAX(E80/$I$21,E81/설정!$B$60)*1000</f>
        <v>0</v>
      </c>
      <c r="F82" s="68" t="n">
        <f aca="false">MAX(F80/$I$21,F81/설정!$B$60)*1000</f>
        <v>0</v>
      </c>
      <c r="G82" s="68" t="n">
        <f aca="false">MAX(G80/$I$21,G81/설정!$B$60)*1000</f>
        <v>0</v>
      </c>
      <c r="H82" s="68" t="n">
        <f aca="false">MAX(H80/$I$21,H81/설정!$B$60)*1000</f>
        <v>0</v>
      </c>
      <c r="I82" s="2"/>
    </row>
    <row r="83" customFormat="false" ht="17.15" hidden="false" customHeight="false" outlineLevel="0" collapsed="false">
      <c r="A83" s="30" t="s">
        <v>332</v>
      </c>
      <c r="B83" s="67" t="n">
        <f aca="false">($D$22*B$29)*2*(B$31)*$B$22*$C$22</f>
        <v>0</v>
      </c>
      <c r="C83" s="67" t="n">
        <f aca="false">($D$22*C$29)*2*(C$31)*$B$22*$C$22</f>
        <v>0</v>
      </c>
      <c r="D83" s="67" t="n">
        <f aca="false">($D$22*D$29)*2*(D$31)*$B$22*$C$22</f>
        <v>0</v>
      </c>
      <c r="E83" s="67" t="n">
        <f aca="false">($D$22*E$29)*2*(E$31)*$B$22*$C$22</f>
        <v>0</v>
      </c>
      <c r="F83" s="67" t="n">
        <f aca="false">($D$22*F$29)*2*(F$31)*$B$22*$C$22</f>
        <v>0</v>
      </c>
      <c r="G83" s="67" t="n">
        <f aca="false">($D$22*G$29)*2*(G$31)*$B$22*$C$22</f>
        <v>0</v>
      </c>
      <c r="H83" s="67" t="n">
        <f aca="false">($D$22*H$29)*2*(H$31)*$B$22*$C$22</f>
        <v>0</v>
      </c>
      <c r="I83" s="2"/>
    </row>
    <row r="84" customFormat="false" ht="17.15" hidden="false" customHeight="false" outlineLevel="0" collapsed="false">
      <c r="A84" s="30" t="s">
        <v>333</v>
      </c>
      <c r="B84" s="67" t="n">
        <f aca="false">($D$22*B$29)*MIN(($B$22*$C$22*$H$22)*MAX(1,ROUNDUP(((B$31)*$B$22*설정!$B$57)/설정!$B$61,0))+((B$31)*$B$22*설정!$B$57)+((B$31)*$C$22*설정!$B$57),($B$22*$C$22*$H$22)+((B$31)*$B$22*설정!$B$57)*MAX(1,ROUNDUP(($B$22*$C$22*$H$22)/설정!$B$61,0))+((B$31)*$C$22*설정!$B$57))</f>
        <v>0</v>
      </c>
      <c r="C84" s="67" t="n">
        <f aca="false">($D$22*C$29)*MIN(($B$22*$C$22*$H$22)*MAX(1,ROUNDUP(((C$31)*$B$22*설정!$B$57)/설정!$B$61,0))+((C$31)*$B$22*설정!$B$57)+((C$31)*$C$22*설정!$B$57),($B$22*$C$22*$H$22)+((C$31)*$B$22*설정!$B$57)*MAX(1,ROUNDUP(($B$22*$C$22*$H$22)/설정!$B$61,0))+((C$31)*$C$22*설정!$B$57))</f>
        <v>0</v>
      </c>
      <c r="D84" s="67" t="n">
        <f aca="false">($D$22*D$29)*MIN(($B$22*$C$22*$H$22)*MAX(1,ROUNDUP(((D$31)*$B$22*설정!$B$57)/설정!$B$61,0))+((D$31)*$B$22*설정!$B$57)+((D$31)*$C$22*설정!$B$57),($B$22*$C$22*$H$22)+((D$31)*$B$22*설정!$B$57)*MAX(1,ROUNDUP(($B$22*$C$22*$H$22)/설정!$B$61,0))+((D$31)*$C$22*설정!$B$57))</f>
        <v>0</v>
      </c>
      <c r="E84" s="67" t="n">
        <f aca="false">($D$22*E$29)*MIN(($B$22*$C$22*$H$22)*MAX(1,ROUNDUP(((E$31)*$B$22*설정!$B$57)/설정!$B$61,0))+((E$31)*$B$22*설정!$B$57)+((E$31)*$C$22*설정!$B$57),($B$22*$C$22*$H$22)+((E$31)*$B$22*설정!$B$57)*MAX(1,ROUNDUP(($B$22*$C$22*$H$22)/설정!$B$61,0))+((E$31)*$C$22*설정!$B$57))</f>
        <v>0</v>
      </c>
      <c r="F84" s="67" t="n">
        <f aca="false">($D$22*F$29)*MIN(($B$22*$C$22*$H$22)*MAX(1,ROUNDUP(((F$31)*$B$22*설정!$B$57)/설정!$B$61,0))+((F$31)*$B$22*설정!$B$57)+((F$31)*$C$22*설정!$B$57),($B$22*$C$22*$H$22)+((F$31)*$B$22*설정!$B$57)*MAX(1,ROUNDUP(($B$22*$C$22*$H$22)/설정!$B$61,0))+((F$31)*$C$22*설정!$B$57))</f>
        <v>0</v>
      </c>
      <c r="G84" s="67" t="n">
        <f aca="false">($D$22*G$29)*MIN(($B$22*$C$22*$H$22)*MAX(1,ROUNDUP(((G$31)*$B$22*설정!$B$57)/설정!$B$61,0))+((G$31)*$B$22*설정!$B$57)+((G$31)*$C$22*설정!$B$57),($B$22*$C$22*$H$22)+((G$31)*$B$22*설정!$B$57)*MAX(1,ROUNDUP(($B$22*$C$22*$H$22)/설정!$B$61,0))+((G$31)*$C$22*설정!$B$57))</f>
        <v>0</v>
      </c>
      <c r="H84" s="67" t="n">
        <f aca="false">($D$22*H$29)*MIN(($B$22*$C$22*$H$22)*MAX(1,ROUNDUP(((H$31)*$B$22*설정!$B$57)/설정!$B$61,0))+((H$31)*$B$22*설정!$B$57)+((H$31)*$C$22*설정!$B$57),($B$22*$C$22*$H$22)+((H$31)*$B$22*설정!$B$57)*MAX(1,ROUNDUP(($B$22*$C$22*$H$22)/설정!$B$61,0))+((H$31)*$C$22*설정!$B$57))</f>
        <v>0</v>
      </c>
      <c r="I84" s="2"/>
    </row>
    <row r="85" customFormat="false" ht="17.15" hidden="false" customHeight="false" outlineLevel="0" collapsed="false">
      <c r="A85" s="30" t="s">
        <v>334</v>
      </c>
      <c r="B85" s="68" t="n">
        <f aca="false">MAX(B83/$I$22,B84/설정!$B$60)*1000</f>
        <v>0</v>
      </c>
      <c r="C85" s="68" t="n">
        <f aca="false">MAX(C83/$I$22,C84/설정!$B$60)*1000</f>
        <v>0</v>
      </c>
      <c r="D85" s="68" t="n">
        <f aca="false">MAX(D83/$I$22,D84/설정!$B$60)*1000</f>
        <v>0</v>
      </c>
      <c r="E85" s="68" t="n">
        <f aca="false">MAX(E83/$I$22,E84/설정!$B$60)*1000</f>
        <v>0</v>
      </c>
      <c r="F85" s="68" t="n">
        <f aca="false">MAX(F83/$I$22,F84/설정!$B$60)*1000</f>
        <v>0</v>
      </c>
      <c r="G85" s="68" t="n">
        <f aca="false">MAX(G83/$I$22,G84/설정!$B$60)*1000</f>
        <v>0</v>
      </c>
      <c r="H85" s="68" t="n">
        <f aca="false">MAX(H83/$I$22,H84/설정!$B$60)*1000</f>
        <v>0</v>
      </c>
      <c r="I85" s="2"/>
    </row>
    <row r="86" customFormat="false" ht="17.15" hidden="false" customHeight="false" outlineLevel="0" collapsed="false">
      <c r="A86" s="30" t="s">
        <v>335</v>
      </c>
      <c r="B86" s="67" t="n">
        <f aca="false">($D$23*B$29)*2*(B$31)*$B$23*$C$23</f>
        <v>0</v>
      </c>
      <c r="C86" s="67" t="n">
        <f aca="false">($D$23*C$29)*2*(C$31)*$B$23*$C$23</f>
        <v>0</v>
      </c>
      <c r="D86" s="67" t="n">
        <f aca="false">($D$23*D$29)*2*(D$31)*$B$23*$C$23</f>
        <v>0</v>
      </c>
      <c r="E86" s="67" t="n">
        <f aca="false">($D$23*E$29)*2*(E$31)*$B$23*$C$23</f>
        <v>0</v>
      </c>
      <c r="F86" s="67" t="n">
        <f aca="false">($D$23*F$29)*2*(F$31)*$B$23*$C$23</f>
        <v>0</v>
      </c>
      <c r="G86" s="67" t="n">
        <f aca="false">($D$23*G$29)*2*(G$31)*$B$23*$C$23</f>
        <v>0</v>
      </c>
      <c r="H86" s="67" t="n">
        <f aca="false">($D$23*H$29)*2*(H$31)*$B$23*$C$23</f>
        <v>0</v>
      </c>
      <c r="I86" s="2"/>
    </row>
    <row r="87" customFormat="false" ht="17.15" hidden="false" customHeight="false" outlineLevel="0" collapsed="false">
      <c r="A87" s="30" t="s">
        <v>336</v>
      </c>
      <c r="B87" s="67" t="n">
        <f aca="false">($D$23*B$29)*MIN(($B$23*$C$23*$H$23)*MAX(1,ROUNDUP(((B$31)*$B$23*설정!$B$57)/설정!$B$61,0))+((B$31)*$B$23*설정!$B$57)+((B$31)*$C$23*설정!$B$57),($B$23*$C$23*$H$23)+((B$31)*$B$23*설정!$B$57)*MAX(1,ROUNDUP(($B$23*$C$23*$H$23)/설정!$B$61,0))+((B$31)*$C$23*설정!$B$57))</f>
        <v>0</v>
      </c>
      <c r="C87" s="67" t="n">
        <f aca="false">($D$23*C$29)*MIN(($B$23*$C$23*$H$23)*MAX(1,ROUNDUP(((C$31)*$B$23*설정!$B$57)/설정!$B$61,0))+((C$31)*$B$23*설정!$B$57)+((C$31)*$C$23*설정!$B$57),($B$23*$C$23*$H$23)+((C$31)*$B$23*설정!$B$57)*MAX(1,ROUNDUP(($B$23*$C$23*$H$23)/설정!$B$61,0))+((C$31)*$C$23*설정!$B$57))</f>
        <v>0</v>
      </c>
      <c r="D87" s="67" t="n">
        <f aca="false">($D$23*D$29)*MIN(($B$23*$C$23*$H$23)*MAX(1,ROUNDUP(((D$31)*$B$23*설정!$B$57)/설정!$B$61,0))+((D$31)*$B$23*설정!$B$57)+((D$31)*$C$23*설정!$B$57),($B$23*$C$23*$H$23)+((D$31)*$B$23*설정!$B$57)*MAX(1,ROUNDUP(($B$23*$C$23*$H$23)/설정!$B$61,0))+((D$31)*$C$23*설정!$B$57))</f>
        <v>0</v>
      </c>
      <c r="E87" s="67" t="n">
        <f aca="false">($D$23*E$29)*MIN(($B$23*$C$23*$H$23)*MAX(1,ROUNDUP(((E$31)*$B$23*설정!$B$57)/설정!$B$61,0))+((E$31)*$B$23*설정!$B$57)+((E$31)*$C$23*설정!$B$57),($B$23*$C$23*$H$23)+((E$31)*$B$23*설정!$B$57)*MAX(1,ROUNDUP(($B$23*$C$23*$H$23)/설정!$B$61,0))+((E$31)*$C$23*설정!$B$57))</f>
        <v>0</v>
      </c>
      <c r="F87" s="67" t="n">
        <f aca="false">($D$23*F$29)*MIN(($B$23*$C$23*$H$23)*MAX(1,ROUNDUP(((F$31)*$B$23*설정!$B$57)/설정!$B$61,0))+((F$31)*$B$23*설정!$B$57)+((F$31)*$C$23*설정!$B$57),($B$23*$C$23*$H$23)+((F$31)*$B$23*설정!$B$57)*MAX(1,ROUNDUP(($B$23*$C$23*$H$23)/설정!$B$61,0))+((F$31)*$C$23*설정!$B$57))</f>
        <v>0</v>
      </c>
      <c r="G87" s="67" t="n">
        <f aca="false">($D$23*G$29)*MIN(($B$23*$C$23*$H$23)*MAX(1,ROUNDUP(((G$31)*$B$23*설정!$B$57)/설정!$B$61,0))+((G$31)*$B$23*설정!$B$57)+((G$31)*$C$23*설정!$B$57),($B$23*$C$23*$H$23)+((G$31)*$B$23*설정!$B$57)*MAX(1,ROUNDUP(($B$23*$C$23*$H$23)/설정!$B$61,0))+((G$31)*$C$23*설정!$B$57))</f>
        <v>0</v>
      </c>
      <c r="H87" s="67" t="n">
        <f aca="false">($D$23*H$29)*MIN(($B$23*$C$23*$H$23)*MAX(1,ROUNDUP(((H$31)*$B$23*설정!$B$57)/설정!$B$61,0))+((H$31)*$B$23*설정!$B$57)+((H$31)*$C$23*설정!$B$57),($B$23*$C$23*$H$23)+((H$31)*$B$23*설정!$B$57)*MAX(1,ROUNDUP(($B$23*$C$23*$H$23)/설정!$B$61,0))+((H$31)*$C$23*설정!$B$57))</f>
        <v>0</v>
      </c>
      <c r="I87" s="2"/>
    </row>
    <row r="88" customFormat="false" ht="17.15" hidden="false" customHeight="false" outlineLevel="0" collapsed="false">
      <c r="A88" s="30" t="s">
        <v>337</v>
      </c>
      <c r="B88" s="68" t="n">
        <f aca="false">MAX(B86/$I$23,B87/설정!$B$60)*1000</f>
        <v>0</v>
      </c>
      <c r="C88" s="68" t="n">
        <f aca="false">MAX(C86/$I$23,C87/설정!$B$60)*1000</f>
        <v>0</v>
      </c>
      <c r="D88" s="68" t="n">
        <f aca="false">MAX(D86/$I$23,D87/설정!$B$60)*1000</f>
        <v>0</v>
      </c>
      <c r="E88" s="68" t="n">
        <f aca="false">MAX(E86/$I$23,E87/설정!$B$60)*1000</f>
        <v>0</v>
      </c>
      <c r="F88" s="68" t="n">
        <f aca="false">MAX(F86/$I$23,F87/설정!$B$60)*1000</f>
        <v>0</v>
      </c>
      <c r="G88" s="68" t="n">
        <f aca="false">MAX(G86/$I$23,G87/설정!$B$60)*1000</f>
        <v>0</v>
      </c>
      <c r="H88" s="68" t="n">
        <f aca="false">MAX(H86/$I$23,H87/설정!$B$60)*1000</f>
        <v>0</v>
      </c>
      <c r="I88" s="2"/>
    </row>
    <row r="89" customFormat="false" ht="17.15" hidden="false" customHeight="false" outlineLevel="0" collapsed="false">
      <c r="A89" s="30" t="s">
        <v>338</v>
      </c>
      <c r="B89" s="67" t="n">
        <f aca="false">($D$24)*2*(1)*$B$24*$C$24</f>
        <v>1050673152</v>
      </c>
      <c r="C89" s="67" t="n">
        <f aca="false">($D$24)*2*(1)*$B$24*$C$24</f>
        <v>1050673152</v>
      </c>
      <c r="D89" s="67" t="n">
        <f aca="false">($D$24)*2*(1)*$B$24*$C$24</f>
        <v>1050673152</v>
      </c>
      <c r="E89" s="67" t="n">
        <f aca="false">($D$24)*2*(1)*$B$24*$C$24</f>
        <v>1050673152</v>
      </c>
      <c r="F89" s="67" t="n">
        <f aca="false">($D$24)*2*(1)*$B$24*$C$24</f>
        <v>1050673152</v>
      </c>
      <c r="G89" s="67" t="n">
        <f aca="false">($D$24)*2*(1)*$B$24*$C$24</f>
        <v>1050673152</v>
      </c>
      <c r="H89" s="67" t="n">
        <f aca="false">($D$24)*2*(1)*$B$24*$C$24</f>
        <v>1050673152</v>
      </c>
      <c r="I89" s="2"/>
    </row>
    <row r="90" customFormat="false" ht="17.15" hidden="false" customHeight="false" outlineLevel="0" collapsed="false">
      <c r="A90" s="30" t="s">
        <v>339</v>
      </c>
      <c r="B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C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D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E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F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G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H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I90" s="2"/>
    </row>
    <row r="91" customFormat="false" ht="17.15" hidden="false" customHeight="false" outlineLevel="0" collapsed="false">
      <c r="A91" s="30" t="s">
        <v>340</v>
      </c>
      <c r="B91" s="68" t="n">
        <f aca="false">MAX(B89/$I$24,B90/설정!$B$60)*1000</f>
        <v>5.31390243137255</v>
      </c>
      <c r="C91" s="68" t="n">
        <f aca="false">MAX(C89/$I$24,C90/설정!$B$60)*1000</f>
        <v>5.31390243137255</v>
      </c>
      <c r="D91" s="68" t="n">
        <f aca="false">MAX(D89/$I$24,D90/설정!$B$60)*1000</f>
        <v>5.31390243137255</v>
      </c>
      <c r="E91" s="68" t="n">
        <f aca="false">MAX(E89/$I$24,E90/설정!$B$60)*1000</f>
        <v>5.31390243137255</v>
      </c>
      <c r="F91" s="68" t="n">
        <f aca="false">MAX(F89/$I$24,F90/설정!$B$60)*1000</f>
        <v>5.31390243137255</v>
      </c>
      <c r="G91" s="68" t="n">
        <f aca="false">MAX(G89/$I$24,G90/설정!$B$60)*1000</f>
        <v>5.31390243137255</v>
      </c>
      <c r="H91" s="68" t="n">
        <f aca="false">MAX(H89/$I$24,H90/설정!$B$60)*1000</f>
        <v>5.31390243137255</v>
      </c>
      <c r="I91" s="2"/>
    </row>
    <row r="92" customFormat="false" ht="17.15" hidden="false" customHeight="false" outlineLevel="0" collapsed="false">
      <c r="A92" s="30" t="s">
        <v>341</v>
      </c>
      <c r="B92" s="67" t="n">
        <f aca="false">B28*(B28+1)/2</f>
        <v>8256</v>
      </c>
      <c r="C92" s="67" t="n">
        <f aca="false">C28*(C28+1)/2</f>
        <v>32896</v>
      </c>
      <c r="D92" s="67" t="n">
        <f aca="false">D28*(D28+1)/2</f>
        <v>131328</v>
      </c>
      <c r="E92" s="67" t="n">
        <f aca="false">E28*(E28+1)/2</f>
        <v>524800</v>
      </c>
      <c r="F92" s="67" t="n">
        <f aca="false">F28*(F28+1)/2</f>
        <v>2098176</v>
      </c>
      <c r="G92" s="67" t="n">
        <f aca="false">G28*(G28+1)/2</f>
        <v>8390656</v>
      </c>
      <c r="H92" s="67" t="n">
        <f aca="false">H28*(H28+1)/2</f>
        <v>33558528</v>
      </c>
      <c r="I92" s="2"/>
    </row>
    <row r="93" customFormat="false" ht="17.15" hidden="false" customHeight="false" outlineLevel="0" collapsed="false">
      <c r="A93" s="30" t="s">
        <v>342</v>
      </c>
      <c r="B93" s="67" t="n">
        <f aca="false">모델!$B$12*4*모델!$B$13*모델!$B$15*B92</f>
        <v>4328521728</v>
      </c>
      <c r="C93" s="67" t="n">
        <f aca="false">모델!$B$12*4*모델!$B$13*모델!$B$15*C92</f>
        <v>17246978048</v>
      </c>
      <c r="D93" s="67" t="n">
        <f aca="false">모델!$B$12*4*모델!$B$13*모델!$B$15*D92</f>
        <v>68853694464</v>
      </c>
      <c r="E93" s="67" t="n">
        <f aca="false">모델!$B$12*4*모델!$B$13*모델!$B$15*E92</f>
        <v>275146342400</v>
      </c>
      <c r="F93" s="67" t="n">
        <f aca="false">모델!$B$12*4*모델!$B$13*모델!$B$15*F92</f>
        <v>1100048498688</v>
      </c>
      <c r="G93" s="67" t="n">
        <f aca="false">모델!$B$12*4*모델!$B$13*모델!$B$15*G92</f>
        <v>4399120252928</v>
      </c>
      <c r="H93" s="67" t="n">
        <f aca="false">모델!$B$12*4*모델!$B$13*모델!$B$15*H92</f>
        <v>17594333528064</v>
      </c>
      <c r="I93" s="2"/>
    </row>
    <row r="94" customFormat="false" ht="17.15" hidden="false" customHeight="false" outlineLevel="0" collapsed="false">
      <c r="A94" s="30" t="s">
        <v>343</v>
      </c>
      <c r="B94" s="67" t="n">
        <f aca="false">모델!$B$12*(2*B28*모델!$B$13*모델!$B$15*설정!$B$57+B28*2*모델!$B$14*모델!$B$15*설정!$B$58*MAX(1,ROUNDUP(B28*(모델!$B$13/MAX(1,모델!$B$14))*모델!$B$15*설정!$B$57/설정!$B$61,0)))</f>
        <v>41943040</v>
      </c>
      <c r="C94" s="67" t="n">
        <f aca="false">모델!$B$12*(2*C28*모델!$B$13*모델!$B$15*설정!$B$57+C28*2*모델!$B$14*모델!$B$15*설정!$B$58*MAX(1,ROUNDUP(C28*(모델!$B$13/MAX(1,모델!$B$14))*모델!$B$15*설정!$B$57/설정!$B$61,0)))</f>
        <v>83886080</v>
      </c>
      <c r="D94" s="67" t="n">
        <f aca="false">모델!$B$12*(2*D28*모델!$B$13*모델!$B$15*설정!$B$57+D28*2*모델!$B$14*모델!$B$15*설정!$B$58*MAX(1,ROUNDUP(D28*(모델!$B$13/MAX(1,모델!$B$14))*모델!$B$15*설정!$B$57/설정!$B$61,0)))</f>
        <v>167772160</v>
      </c>
      <c r="E94" s="67" t="n">
        <f aca="false">모델!$B$12*(2*E28*모델!$B$13*모델!$B$15*설정!$B$57+E28*2*모델!$B$14*모델!$B$15*설정!$B$58*MAX(1,ROUNDUP(E28*(모델!$B$13/MAX(1,모델!$B$14))*모델!$B$15*설정!$B$57/설정!$B$61,0)))</f>
        <v>335544320</v>
      </c>
      <c r="F94" s="67" t="n">
        <f aca="false">모델!$B$12*(2*F28*모델!$B$13*모델!$B$15*설정!$B$57+F28*2*모델!$B$14*모델!$B$15*설정!$B$58*MAX(1,ROUNDUP(F28*(모델!$B$13/MAX(1,모델!$B$14))*모델!$B$15*설정!$B$57/설정!$B$61,0)))</f>
        <v>671088640</v>
      </c>
      <c r="G94" s="67" t="n">
        <f aca="false">모델!$B$12*(2*G28*모델!$B$13*모델!$B$15*설정!$B$57+G28*2*모델!$B$14*모델!$B$15*설정!$B$58*MAX(1,ROUNDUP(G28*(모델!$B$13/MAX(1,모델!$B$14))*모델!$B$15*설정!$B$57/설정!$B$61,0)))</f>
        <v>1610612736</v>
      </c>
      <c r="H94" s="67" t="n">
        <f aca="false">모델!$B$12*(2*H28*모델!$B$13*모델!$B$15*설정!$B$57+H28*2*모델!$B$14*모델!$B$15*설정!$B$58*MAX(1,ROUNDUP(H28*(모델!$B$13/MAX(1,모델!$B$14))*모델!$B$15*설정!$B$57/설정!$B$61,0)))</f>
        <v>3758096384</v>
      </c>
      <c r="I94" s="2"/>
    </row>
    <row r="95" customFormat="false" ht="17.15" hidden="false" customHeight="false" outlineLevel="0" collapsed="false">
      <c r="A95" s="30" t="s">
        <v>344</v>
      </c>
      <c r="B95" s="68" t="n">
        <f aca="false">MAX(B93/설정!$B$68,B94/설정!$B$60)*1000</f>
        <v>0.822412549019608</v>
      </c>
      <c r="C95" s="68" t="n">
        <f aca="false">MAX(C93/설정!$B$68,C94/설정!$B$60)*1000</f>
        <v>1.64482509803922</v>
      </c>
      <c r="D95" s="68" t="n">
        <f aca="false">MAX(D93/설정!$B$68,D94/설정!$B$60)*1000</f>
        <v>3.28965019607843</v>
      </c>
      <c r="E95" s="68" t="n">
        <f aca="false">MAX(E93/설정!$B$68,E94/설정!$B$60)*1000</f>
        <v>11.4644309333333</v>
      </c>
      <c r="F95" s="68" t="n">
        <f aca="false">MAX(F93/설정!$B$68,F94/설정!$B$60)*1000</f>
        <v>45.835354112</v>
      </c>
      <c r="G95" s="68" t="n">
        <f aca="false">MAX(G93/설정!$B$68,G94/설정!$B$60)*1000</f>
        <v>183.296677205333</v>
      </c>
      <c r="H95" s="68" t="n">
        <f aca="false">MAX(H93/설정!$B$68,H94/설정!$B$60)*1000</f>
        <v>733.097230336</v>
      </c>
      <c r="I95" s="2"/>
    </row>
    <row r="96" customFormat="false" ht="17.15" hidden="false" customHeight="false" outlineLevel="0" collapsed="false">
      <c r="A96" s="30" t="s">
        <v>345</v>
      </c>
      <c r="B96" s="67" t="n">
        <f aca="false">IF(B28&lt;=모델!$B$20,B28*(B28+1)/2,모델!$B$20*(모델!$B$20+1)/2+(B28-모델!$B$20)*모델!$B$20)</f>
        <v>0</v>
      </c>
      <c r="C96" s="67" t="n">
        <f aca="false">IF(C28&lt;=모델!$B$20,C28*(C28+1)/2,모델!$B$20*(모델!$B$20+1)/2+(C28-모델!$B$20)*모델!$B$20)</f>
        <v>0</v>
      </c>
      <c r="D96" s="67" t="n">
        <f aca="false">IF(D28&lt;=모델!$B$20,D28*(D28+1)/2,모델!$B$20*(모델!$B$20+1)/2+(D28-모델!$B$20)*모델!$B$20)</f>
        <v>0</v>
      </c>
      <c r="E96" s="67" t="n">
        <f aca="false">IF(E28&lt;=모델!$B$20,E28*(E28+1)/2,모델!$B$20*(모델!$B$20+1)/2+(E28-모델!$B$20)*모델!$B$20)</f>
        <v>0</v>
      </c>
      <c r="F96" s="67" t="n">
        <f aca="false">IF(F28&lt;=모델!$B$20,F28*(F28+1)/2,모델!$B$20*(모델!$B$20+1)/2+(F28-모델!$B$20)*모델!$B$20)</f>
        <v>0</v>
      </c>
      <c r="G96" s="67" t="n">
        <f aca="false">IF(G28&lt;=모델!$B$20,G28*(G28+1)/2,모델!$B$20*(모델!$B$20+1)/2+(G28-모델!$B$20)*모델!$B$20)</f>
        <v>0</v>
      </c>
      <c r="H96" s="67" t="n">
        <f aca="false">IF(H28&lt;=모델!$B$20,H28*(H28+1)/2,모델!$B$20*(모델!$B$20+1)/2+(H28-모델!$B$20)*모델!$B$20)</f>
        <v>0</v>
      </c>
      <c r="I96" s="2"/>
    </row>
    <row r="97" customFormat="false" ht="17.15" hidden="false" customHeight="false" outlineLevel="0" collapsed="false">
      <c r="A97" s="30" t="s">
        <v>346</v>
      </c>
      <c r="B97" s="67" t="n">
        <f aca="false">모델!$B$19*4*모델!$B$21*모델!$B$23*B96</f>
        <v>0</v>
      </c>
      <c r="C97" s="67" t="n">
        <f aca="false">모델!$B$19*4*모델!$B$21*모델!$B$23*C96</f>
        <v>0</v>
      </c>
      <c r="D97" s="67" t="n">
        <f aca="false">모델!$B$19*4*모델!$B$21*모델!$B$23*D96</f>
        <v>0</v>
      </c>
      <c r="E97" s="67" t="n">
        <f aca="false">모델!$B$19*4*모델!$B$21*모델!$B$23*E96</f>
        <v>0</v>
      </c>
      <c r="F97" s="67" t="n">
        <f aca="false">모델!$B$19*4*모델!$B$21*모델!$B$23*F96</f>
        <v>0</v>
      </c>
      <c r="G97" s="67" t="n">
        <f aca="false">모델!$B$19*4*모델!$B$21*모델!$B$23*G96</f>
        <v>0</v>
      </c>
      <c r="H97" s="67" t="n">
        <f aca="false">모델!$B$19*4*모델!$B$21*모델!$B$23*H96</f>
        <v>0</v>
      </c>
      <c r="I97" s="2"/>
    </row>
    <row r="98" customFormat="false" ht="17.15" hidden="false" customHeight="false" outlineLevel="0" collapsed="false">
      <c r="A98" s="30" t="s">
        <v>347</v>
      </c>
      <c r="B98" s="67" t="n">
        <f aca="false">모델!$B$19*(2*B28*모델!$B$21*모델!$B$23*설정!$B$57+B28*2*모델!$B$22*모델!$B$23*설정!$B$58*MAX(1,ROUNDUP(MIN(B28,모델!$B$20)*(모델!$B$21/MAX(1,모델!$B$22))*모델!$B$23*설정!$B$57/설정!$B$61,0)))</f>
        <v>0</v>
      </c>
      <c r="C98" s="67" t="n">
        <f aca="false">모델!$B$19*(2*C28*모델!$B$21*모델!$B$23*설정!$B$57+C28*2*모델!$B$22*모델!$B$23*설정!$B$58*MAX(1,ROUNDUP(MIN(C28,모델!$B$20)*(모델!$B$21/MAX(1,모델!$B$22))*모델!$B$23*설정!$B$57/설정!$B$61,0)))</f>
        <v>0</v>
      </c>
      <c r="D98" s="67" t="n">
        <f aca="false">모델!$B$19*(2*D28*모델!$B$21*모델!$B$23*설정!$B$57+D28*2*모델!$B$22*모델!$B$23*설정!$B$58*MAX(1,ROUNDUP(MIN(D28,모델!$B$20)*(모델!$B$21/MAX(1,모델!$B$22))*모델!$B$23*설정!$B$57/설정!$B$61,0)))</f>
        <v>0</v>
      </c>
      <c r="E98" s="67" t="n">
        <f aca="false">모델!$B$19*(2*E28*모델!$B$21*모델!$B$23*설정!$B$57+E28*2*모델!$B$22*모델!$B$23*설정!$B$58*MAX(1,ROUNDUP(MIN(E28,모델!$B$20)*(모델!$B$21/MAX(1,모델!$B$22))*모델!$B$23*설정!$B$57/설정!$B$61,0)))</f>
        <v>0</v>
      </c>
      <c r="F98" s="67" t="n">
        <f aca="false">모델!$B$19*(2*F28*모델!$B$21*모델!$B$23*설정!$B$57+F28*2*모델!$B$22*모델!$B$23*설정!$B$58*MAX(1,ROUNDUP(MIN(F28,모델!$B$20)*(모델!$B$21/MAX(1,모델!$B$22))*모델!$B$23*설정!$B$57/설정!$B$61,0)))</f>
        <v>0</v>
      </c>
      <c r="G98" s="67" t="n">
        <f aca="false">모델!$B$19*(2*G28*모델!$B$21*모델!$B$23*설정!$B$57+G28*2*모델!$B$22*모델!$B$23*설정!$B$58*MAX(1,ROUNDUP(MIN(G28,모델!$B$20)*(모델!$B$21/MAX(1,모델!$B$22))*모델!$B$23*설정!$B$57/설정!$B$61,0)))</f>
        <v>0</v>
      </c>
      <c r="H98" s="67" t="n">
        <f aca="false">모델!$B$19*(2*H28*모델!$B$21*모델!$B$23*설정!$B$57+H28*2*모델!$B$22*모델!$B$23*설정!$B$58*MAX(1,ROUNDUP(MIN(H28,모델!$B$20)*(모델!$B$21/MAX(1,모델!$B$22))*모델!$B$23*설정!$B$57/설정!$B$61,0)))</f>
        <v>0</v>
      </c>
      <c r="I98" s="2"/>
    </row>
    <row r="99" customFormat="false" ht="17.15" hidden="false" customHeight="false" outlineLevel="0" collapsed="false">
      <c r="A99" s="30" t="s">
        <v>348</v>
      </c>
      <c r="B99" s="68" t="n">
        <f aca="false">MAX(B97/설정!$B$68,B98/설정!$B$60)*1000</f>
        <v>0</v>
      </c>
      <c r="C99" s="68" t="n">
        <f aca="false">MAX(C97/설정!$B$68,C98/설정!$B$60)*1000</f>
        <v>0</v>
      </c>
      <c r="D99" s="68" t="n">
        <f aca="false">MAX(D97/설정!$B$68,D98/설정!$B$60)*1000</f>
        <v>0</v>
      </c>
      <c r="E99" s="68" t="n">
        <f aca="false">MAX(E97/설정!$B$68,E98/설정!$B$60)*1000</f>
        <v>0</v>
      </c>
      <c r="F99" s="68" t="n">
        <f aca="false">MAX(F97/설정!$B$68,F98/설정!$B$60)*1000</f>
        <v>0</v>
      </c>
      <c r="G99" s="68" t="n">
        <f aca="false">MAX(G97/설정!$B$68,G98/설정!$B$60)*1000</f>
        <v>0</v>
      </c>
      <c r="H99" s="68" t="n">
        <f aca="false">MAX(H97/설정!$B$68,H98/설정!$B$60)*1000</f>
        <v>0</v>
      </c>
      <c r="I99" s="2"/>
    </row>
    <row r="100" customFormat="false" ht="17.15" hidden="false" customHeight="false" outlineLevel="0" collapsed="false">
      <c r="A100" s="30" t="s">
        <v>349</v>
      </c>
      <c r="B100" s="69" t="n">
        <f aca="false">IF(모델!$B$26&gt;0,ROUNDUP(B28/MAX(1,모델!$B$32),0)*모델!$B$32,0)</f>
        <v>0</v>
      </c>
      <c r="C100" s="69" t="n">
        <f aca="false">IF(모델!$B$26&gt;0,ROUNDUP(C28/MAX(1,모델!$B$32),0)*모델!$B$32,0)</f>
        <v>0</v>
      </c>
      <c r="D100" s="69" t="n">
        <f aca="false">IF(모델!$B$26&gt;0,ROUNDUP(D28/MAX(1,모델!$B$32),0)*모델!$B$32,0)</f>
        <v>0</v>
      </c>
      <c r="E100" s="69" t="n">
        <f aca="false">IF(모델!$B$26&gt;0,ROUNDUP(E28/MAX(1,모델!$B$32),0)*모델!$B$32,0)</f>
        <v>0</v>
      </c>
      <c r="F100" s="69" t="n">
        <f aca="false">IF(모델!$B$26&gt;0,ROUNDUP(F28/MAX(1,모델!$B$32),0)*모델!$B$32,0)</f>
        <v>0</v>
      </c>
      <c r="G100" s="69" t="n">
        <f aca="false">IF(모델!$B$26&gt;0,ROUNDUP(G28/MAX(1,모델!$B$32),0)*모델!$B$32,0)</f>
        <v>0</v>
      </c>
      <c r="H100" s="69" t="n">
        <f aca="false">IF(모델!$B$26&gt;0,ROUNDUP(H28/MAX(1,모델!$B$32),0)*모델!$B$32,0)</f>
        <v>0</v>
      </c>
      <c r="I100" s="2"/>
    </row>
    <row r="101" customFormat="false" ht="17.15" hidden="false" customHeight="false" outlineLevel="0" collapsed="false">
      <c r="A101" s="30" t="s">
        <v>350</v>
      </c>
      <c r="B101" s="67" t="n">
        <f aca="false">모델!$B$26*B100*모델!$B$29*(6*모델!$B$32*모델!$B$28+4*모델!$B$32*모델!$B$30+6*모델!$B$28*모델!$B$30)</f>
        <v>0</v>
      </c>
      <c r="C101" s="67" t="n">
        <f aca="false">모델!$B$26*C100*모델!$B$29*(6*모델!$B$32*모델!$B$28+4*모델!$B$32*모델!$B$30+6*모델!$B$28*모델!$B$30)</f>
        <v>0</v>
      </c>
      <c r="D101" s="67" t="n">
        <f aca="false">모델!$B$26*D100*모델!$B$29*(6*모델!$B$32*모델!$B$28+4*모델!$B$32*모델!$B$30+6*모델!$B$28*모델!$B$30)</f>
        <v>0</v>
      </c>
      <c r="E101" s="67" t="n">
        <f aca="false">모델!$B$26*E100*모델!$B$29*(6*모델!$B$32*모델!$B$28+4*모델!$B$32*모델!$B$30+6*모델!$B$28*모델!$B$30)</f>
        <v>0</v>
      </c>
      <c r="F101" s="67" t="n">
        <f aca="false">모델!$B$26*F100*모델!$B$29*(6*모델!$B$32*모델!$B$28+4*모델!$B$32*모델!$B$30+6*모델!$B$28*모델!$B$30)</f>
        <v>0</v>
      </c>
      <c r="G101" s="67" t="n">
        <f aca="false">모델!$B$26*G100*모델!$B$29*(6*모델!$B$32*모델!$B$28+4*모델!$B$32*모델!$B$30+6*모델!$B$28*모델!$B$30)</f>
        <v>0</v>
      </c>
      <c r="H101" s="67" t="n">
        <f aca="false">모델!$B$26*H100*모델!$B$29*(6*모델!$B$32*모델!$B$28+4*모델!$B$32*모델!$B$30+6*모델!$B$28*모델!$B$30)</f>
        <v>0</v>
      </c>
      <c r="I101" s="2"/>
    </row>
    <row r="102" customFormat="false" ht="17.15" hidden="false" customHeight="false" outlineLevel="0" collapsed="false">
      <c r="A102" s="30" t="s">
        <v>351</v>
      </c>
      <c r="B102" s="67" t="n">
        <f aca="false">모델!$B$26*(B28*(모델!$B$52+2*모델!$B$29)*설정!$B$57+B28*모델!$B$29*모델!$B$30*설정!$B$57+모델!$B$29*모델!$B$28*모델!$B$30*설정!$B$59)</f>
        <v>0</v>
      </c>
      <c r="C102" s="67" t="n">
        <f aca="false">모델!$B$26*(C28*(모델!$B$52+2*모델!$B$29)*설정!$B$57+C28*모델!$B$29*모델!$B$30*설정!$B$57+모델!$B$29*모델!$B$28*모델!$B$30*설정!$B$59)</f>
        <v>0</v>
      </c>
      <c r="D102" s="67" t="n">
        <f aca="false">모델!$B$26*(D28*(모델!$B$52+2*모델!$B$29)*설정!$B$57+D28*모델!$B$29*모델!$B$30*설정!$B$57+모델!$B$29*모델!$B$28*모델!$B$30*설정!$B$59)</f>
        <v>0</v>
      </c>
      <c r="E102" s="67" t="n">
        <f aca="false">모델!$B$26*(E28*(모델!$B$52+2*모델!$B$29)*설정!$B$57+E28*모델!$B$29*모델!$B$30*설정!$B$57+모델!$B$29*모델!$B$28*모델!$B$30*설정!$B$59)</f>
        <v>0</v>
      </c>
      <c r="F102" s="67" t="n">
        <f aca="false">모델!$B$26*(F28*(모델!$B$52+2*모델!$B$29)*설정!$B$57+F28*모델!$B$29*모델!$B$30*설정!$B$57+모델!$B$29*모델!$B$28*모델!$B$30*설정!$B$59)</f>
        <v>0</v>
      </c>
      <c r="G102" s="67" t="n">
        <f aca="false">모델!$B$26*(G28*(모델!$B$52+2*모델!$B$29)*설정!$B$57+G28*모델!$B$29*모델!$B$30*설정!$B$57+모델!$B$29*모델!$B$28*모델!$B$30*설정!$B$59)</f>
        <v>0</v>
      </c>
      <c r="H102" s="67" t="n">
        <f aca="false">모델!$B$26*(H28*(모델!$B$52+2*모델!$B$29)*설정!$B$57+H28*모델!$B$29*모델!$B$30*설정!$B$57+모델!$B$29*모델!$B$28*모델!$B$30*설정!$B$59)</f>
        <v>0</v>
      </c>
      <c r="I102" s="2"/>
    </row>
    <row r="103" customFormat="false" ht="17.15" hidden="false" customHeight="false" outlineLevel="0" collapsed="false">
      <c r="A103" s="30" t="s">
        <v>352</v>
      </c>
      <c r="B103" s="68" t="n">
        <f aca="false">MAX(B101/설정!$B$69,B102/설정!$B$60)*1000</f>
        <v>0</v>
      </c>
      <c r="C103" s="68" t="n">
        <f aca="false">MAX(C101/설정!$B$69,C102/설정!$B$60)*1000</f>
        <v>0</v>
      </c>
      <c r="D103" s="68" t="n">
        <f aca="false">MAX(D101/설정!$B$69,D102/설정!$B$60)*1000</f>
        <v>0</v>
      </c>
      <c r="E103" s="68" t="n">
        <f aca="false">MAX(E101/설정!$B$69,E102/설정!$B$60)*1000</f>
        <v>0</v>
      </c>
      <c r="F103" s="68" t="n">
        <f aca="false">MAX(F101/설정!$B$69,F102/설정!$B$60)*1000</f>
        <v>0</v>
      </c>
      <c r="G103" s="68" t="n">
        <f aca="false">MAX(G101/설정!$B$69,G102/설정!$B$60)*1000</f>
        <v>0</v>
      </c>
      <c r="H103" s="68" t="n">
        <f aca="false">MAX(H101/설정!$B$69,H102/설정!$B$60)*1000</f>
        <v>0</v>
      </c>
      <c r="I103" s="2"/>
    </row>
    <row r="104" customFormat="false" ht="17.15" hidden="false" customHeight="false" outlineLevel="0" collapsed="false">
      <c r="A104" s="30" t="s">
        <v>353</v>
      </c>
      <c r="B104" s="68" t="n">
        <f aca="false">모델!$B$49*IF(설정!$B$40="CPU",설정!$B$41/1000+((B28)*모델!$B$36*설정!$B$43/8+(B28)*모델!$B$37*설정!$B$44)/(설정!$B$42*1000000000)*1000+(B28)*모델!$B$36*설정!$B$45/1000000,설정!$B$46/1000)</f>
        <v>0</v>
      </c>
      <c r="C104" s="68" t="n">
        <f aca="false">모델!$B$49*IF(설정!$B$40="CPU",설정!$B$41/1000+((C28)*모델!$B$36*설정!$B$43/8+(C28)*모델!$B$37*설정!$B$44)/(설정!$B$42*1000000000)*1000+(C28)*모델!$B$36*설정!$B$45/1000000,설정!$B$46/1000)</f>
        <v>0</v>
      </c>
      <c r="D104" s="68" t="n">
        <f aca="false">모델!$B$49*IF(설정!$B$40="CPU",설정!$B$41/1000+((D28)*모델!$B$36*설정!$B$43/8+(D28)*모델!$B$37*설정!$B$44)/(설정!$B$42*1000000000)*1000+(D28)*모델!$B$36*설정!$B$45/1000000,설정!$B$46/1000)</f>
        <v>0</v>
      </c>
      <c r="E104" s="68" t="n">
        <f aca="false">모델!$B$49*IF(설정!$B$40="CPU",설정!$B$41/1000+((E28)*모델!$B$36*설정!$B$43/8+(E28)*모델!$B$37*설정!$B$44)/(설정!$B$42*1000000000)*1000+(E28)*모델!$B$36*설정!$B$45/1000000,설정!$B$46/1000)</f>
        <v>0</v>
      </c>
      <c r="F104" s="68" t="n">
        <f aca="false">모델!$B$49*IF(설정!$B$40="CPU",설정!$B$41/1000+((F28)*모델!$B$36*설정!$B$43/8+(F28)*모델!$B$37*설정!$B$44)/(설정!$B$42*1000000000)*1000+(F28)*모델!$B$36*설정!$B$45/1000000,설정!$B$46/1000)</f>
        <v>0</v>
      </c>
      <c r="G104" s="68" t="n">
        <f aca="false">모델!$B$49*IF(설정!$B$40="CPU",설정!$B$41/1000+((G28)*모델!$B$36*설정!$B$43/8+(G28)*모델!$B$37*설정!$B$44)/(설정!$B$42*1000000000)*1000+(G28)*모델!$B$36*설정!$B$45/1000000,설정!$B$46/1000)</f>
        <v>0</v>
      </c>
      <c r="H104" s="68" t="n">
        <f aca="false">모델!$B$49*IF(설정!$B$40="CPU",설정!$B$41/1000+((H28)*모델!$B$36*설정!$B$43/8+(H28)*모델!$B$37*설정!$B$44)/(설정!$B$42*1000000000)*1000+(H28)*모델!$B$36*설정!$B$45/1000000,설정!$B$46/1000)</f>
        <v>0</v>
      </c>
      <c r="I104" s="2"/>
    </row>
    <row r="105" customFormat="false" ht="17.15" hidden="false" customHeight="false" outlineLevel="0" collapsed="false">
      <c r="A105" s="33" t="s">
        <v>354</v>
      </c>
      <c r="B105" s="64" t="n">
        <f aca="false">B34+B37+B40+B43+B46+B49+B52+B55+B58+B61+B64+B67+B70+B73+B76+B79+B82+B85+B88+B91</f>
        <v>101.453929411765</v>
      </c>
      <c r="C105" s="64" t="n">
        <f aca="false">C34+C37+C40+C43+C46+C49+C52+C55+C58+C61+C64+C67+C70+C73+C76+C79+C82+C85+C88+C91</f>
        <v>174.073615420235</v>
      </c>
      <c r="D105" s="64" t="n">
        <f aca="false">D34+D37+D40+D43+D46+D49+D52+D55+D58+D61+D64+D67+D70+D73+D76+D79+D82+D85+D88+D91</f>
        <v>323.835598526745</v>
      </c>
      <c r="E105" s="64" t="n">
        <f aca="false">E34+E37+E40+E43+E46+E49+E52+E55+E58+E61+E64+E67+E70+E73+E76+E79+E82+E85+E88+E91</f>
        <v>623.359564739765</v>
      </c>
      <c r="F105" s="64" t="n">
        <f aca="false">F34+F37+F40+F43+F46+F49+F52+F55+F58+F61+F64+F67+F70+F73+F76+F79+F82+F85+F88+F91</f>
        <v>1241.40522704816</v>
      </c>
      <c r="G105" s="64" t="n">
        <f aca="false">G34+G37+G40+G43+G46+G49+G52+G55+G58+G61+G64+G67+G70+G73+G76+G79+G82+G85+G88+G91</f>
        <v>2458.49882178259</v>
      </c>
      <c r="H105" s="64" t="n">
        <f aca="false">H34+H37+H40+H43+H46+H49+H52+H55+H58+H61+H64+H67+H70+H73+H76+H79+H82+H85+H88+H91</f>
        <v>4911.6837411338</v>
      </c>
      <c r="I105" s="2"/>
    </row>
    <row r="106" customFormat="false" ht="17.15" hidden="false" customHeight="false" outlineLevel="0" collapsed="false">
      <c r="A106" s="33" t="s">
        <v>355</v>
      </c>
      <c r="B106" s="64" t="n">
        <f aca="false">B95+B99+B103</f>
        <v>0.822412549019608</v>
      </c>
      <c r="C106" s="64" t="n">
        <f aca="false">C95+C99+C103</f>
        <v>1.64482509803922</v>
      </c>
      <c r="D106" s="64" t="n">
        <f aca="false">D95+D99+D103</f>
        <v>3.28965019607843</v>
      </c>
      <c r="E106" s="64" t="n">
        <f aca="false">E95+E99+E103</f>
        <v>11.4644309333333</v>
      </c>
      <c r="F106" s="64" t="n">
        <f aca="false">F95+F99+F103</f>
        <v>45.835354112</v>
      </c>
      <c r="G106" s="64" t="n">
        <f aca="false">G95+G99+G103</f>
        <v>183.296677205333</v>
      </c>
      <c r="H106" s="64" t="n">
        <f aca="false">H95+H99+H103</f>
        <v>733.097230336</v>
      </c>
      <c r="I106" s="2"/>
    </row>
    <row r="107" customFormat="false" ht="17.15" hidden="false" customHeight="false" outlineLevel="0" collapsed="false">
      <c r="A107" s="33" t="s">
        <v>356</v>
      </c>
      <c r="B107" s="64" t="n">
        <f aca="false">(B32/$I$5+B35/$I$6+B38/$I$7+B41/$I$8+B44/$I$9+B47/$I$10+B50/$I$11+B53/$I$12+B56/$I$13+B59/$I$14+B62/$I$15+B65/$I$16+B68/$I$17+B71/$I$18+B74/$I$19+B77/$I$20+B80/$I$21+B83/$I$22+B86/$I$23+B89/$I$24+(B93+B97)/설정!$B$68+B101/설정!$B$69)*1000</f>
        <v>74.6702329173333</v>
      </c>
      <c r="C107" s="64" t="n">
        <f aca="false">(C32/$I$5+C35/$I$6+C38/$I$7+C41/$I$8+C44/$I$9+C47/$I$10+C50/$I$11+C53/$I$12+C56/$I$13+C59/$I$14+C62/$I$15+C65/$I$16+C68/$I$17+C71/$I$18+C74/$I$19+C77/$I$20+C80/$I$21+C83/$I$22+C86/$I$23+C89/$I$24+(C93+C97)/설정!$B$68+C101/설정!$B$69)*1000</f>
        <v>149.654601728</v>
      </c>
      <c r="D107" s="64" t="n">
        <f aca="false">(D32/$I$5+D35/$I$6+D38/$I$7+D41/$I$8+D44/$I$9+D47/$I$10+D50/$I$11+D53/$I$12+D56/$I$13+D59/$I$14+D62/$I$15+D65/$I$16+D68/$I$17+D71/$I$18+D74/$I$19+D77/$I$20+D80/$I$21+D83/$I$22+D86/$I$23+D89/$I$24+(D93+D97)/설정!$B$68+D101/설정!$B$69)*1000</f>
        <v>300.697081173333</v>
      </c>
      <c r="E107" s="64" t="n">
        <f aca="false">(E32/$I$5+E35/$I$6+E38/$I$7+E41/$I$8+E44/$I$9+E47/$I$10+E50/$I$11+E53/$I$12+E56/$I$13+E59/$I$14+E62/$I$15+E65/$I$16+E68/$I$17+E71/$I$18+E74/$I$19+E77/$I$20+E80/$I$21+E83/$I$22+E86/$I$23+E89/$I$24+(E93+E97)/설정!$B$68+E101/설정!$B$69)*1000</f>
        <v>607.07700736</v>
      </c>
      <c r="F107" s="64" t="n">
        <f aca="false">(F32/$I$5+F35/$I$6+F38/$I$7+F41/$I$8+F44/$I$9+F47/$I$10+F50/$I$11+F53/$I$12+F56/$I$13+F59/$I$14+F62/$I$15+F65/$I$16+F68/$I$17+F71/$I$18+F74/$I$19+F77/$I$20+F80/$I$21+F83/$I$22+F86/$I$23+F89/$I$24+(F93+F97)/설정!$B$68+F101/설정!$B$69)*1000</f>
        <v>1237.01672891733</v>
      </c>
      <c r="G107" s="64" t="n">
        <f aca="false">(G32/$I$5+G35/$I$6+G38/$I$7+G41/$I$8+G44/$I$9+G47/$I$10+G50/$I$11+G53/$I$12+G56/$I$13+G59/$I$14+G62/$I$15+G65/$I$16+G68/$I$17+G71/$I$18+G74/$I$19+G77/$I$20+G80/$I$21+G83/$I$22+G86/$I$23+G89/$I$24+(G93+G97)/설정!$B$68+G101/설정!$B$69)*1000</f>
        <v>2565.615648768</v>
      </c>
      <c r="H107" s="64" t="n">
        <f aca="false">(H32/$I$5+H35/$I$6+H38/$I$7+H41/$I$8+H44/$I$9+H47/$I$10+H50/$I$11+H53/$I$12+H56/$I$13+H59/$I$14+H62/$I$15+H65/$I$16+H68/$I$17+H71/$I$18+H74/$I$19+H77/$I$20+H80/$I$21+H83/$I$22+H86/$I$23+H89/$I$24+(H93+H97)/설정!$B$68+H101/설정!$B$69)*1000</f>
        <v>5497.69139541333</v>
      </c>
      <c r="I107" s="2"/>
    </row>
    <row r="108" customFormat="false" ht="17.15" hidden="false" customHeight="false" outlineLevel="0" collapsed="false">
      <c r="A108" s="33" t="s">
        <v>357</v>
      </c>
      <c r="B108" s="68" t="n">
        <f aca="false">(B33+B36+B39+B42+B45+B48+B51+B54+B57+B60+B63+B66+B69+B72+B75+B78+B81+B84+B87+B90+B94+B98+B102)/1000000000</f>
        <v>5.21609344</v>
      </c>
      <c r="C108" s="68" t="n">
        <f aca="false">(C33+C36+C39+C42+C45+C48+C51+C54+C57+C60+C63+C66+C69+C72+C75+C78+C81+C84+C87+C90+C94+C98+C102)/1000000000</f>
        <v>6.562465024</v>
      </c>
      <c r="D108" s="68" t="n">
        <f aca="false">(D33+D36+D39+D42+D45+D48+D51+D54+D57+D60+D63+D66+D69+D72+D75+D78+D81+D84+D87+D90+D94+D98+D102)/1000000000</f>
        <v>11.880842496</v>
      </c>
      <c r="E108" s="68" t="n">
        <f aca="false">(E33+E36+E39+E42+E45+E48+E51+E54+E57+E60+E63+E66+E69+E72+E75+E78+E81+E84+E87+E90+E94+E98+E102)/1000000000</f>
        <v>19.891963136</v>
      </c>
      <c r="F108" s="68" t="n">
        <f aca="false">(F33+F36+F39+F42+F45+F48+F51+F54+F57+F60+F63+F66+F69+F72+F75+F78+F81+F84+F87+F90+F94+F98+F102)/1000000000</f>
        <v>36.88308864</v>
      </c>
      <c r="G108" s="68" t="n">
        <f aca="false">(G33+G36+G39+G42+G45+G48+G51+G54+G57+G60+G63+G66+G69+G72+G75+G78+G81+G84+G87+G90+G94+G98+G102)/1000000000</f>
        <v>72.656307456</v>
      </c>
      <c r="H108" s="68" t="n">
        <f aca="false">(H33+H36+H39+H42+H45+H48+H51+H54+H57+H60+H63+H66+H69+H72+H75+H78+H81+H84+H87+H90+H94+H98+H102)/1000000000</f>
        <v>145.440064768</v>
      </c>
      <c r="I108" s="2"/>
    </row>
    <row r="109" customFormat="false" ht="17.15" hidden="false" customHeight="false" outlineLevel="0" collapsed="false">
      <c r="A109" s="33" t="s">
        <v>358</v>
      </c>
      <c r="B109" s="64" t="n">
        <f aca="false">B108*1000000000/설정!$B$60*1000</f>
        <v>102.276341960784</v>
      </c>
      <c r="C109" s="64" t="n">
        <f aca="false">C108*1000000000/설정!$B$60*1000</f>
        <v>128.675784784314</v>
      </c>
      <c r="D109" s="64" t="n">
        <f aca="false">D108*1000000000/설정!$B$60*1000</f>
        <v>232.957696</v>
      </c>
      <c r="E109" s="64" t="n">
        <f aca="false">E108*1000000000/설정!$B$60*1000</f>
        <v>390.038492862745</v>
      </c>
      <c r="F109" s="64" t="n">
        <f aca="false">F108*1000000000/설정!$B$60*1000</f>
        <v>723.197816470588</v>
      </c>
      <c r="G109" s="64" t="n">
        <f aca="false">G108*1000000000/설정!$B$60*1000</f>
        <v>1424.63347952941</v>
      </c>
      <c r="H109" s="64" t="n">
        <f aca="false">H108*1000000000/설정!$B$60*1000</f>
        <v>2851.76597584314</v>
      </c>
      <c r="I109" s="2"/>
    </row>
    <row r="110" customFormat="false" ht="15" hidden="false" customHeight="false" outlineLevel="0" collapsed="false">
      <c r="A110" s="33" t="s">
        <v>359</v>
      </c>
      <c r="B110" s="70" t="str">
        <f aca="false">IF(B107&gt;B109,"연산","메모리")</f>
        <v>메모리</v>
      </c>
      <c r="C110" s="70" t="str">
        <f aca="false">IF(C107&gt;C109,"연산","메모리")</f>
        <v>연산</v>
      </c>
      <c r="D110" s="70" t="str">
        <f aca="false">IF(D107&gt;D109,"연산","메모리")</f>
        <v>연산</v>
      </c>
      <c r="E110" s="70" t="str">
        <f aca="false">IF(E107&gt;E109,"연산","메모리")</f>
        <v>연산</v>
      </c>
      <c r="F110" s="70" t="str">
        <f aca="false">IF(F107&gt;F109,"연산","메모리")</f>
        <v>연산</v>
      </c>
      <c r="G110" s="70" t="str">
        <f aca="false">IF(G107&gt;G109,"연산","메모리")</f>
        <v>연산</v>
      </c>
      <c r="H110" s="70" t="str">
        <f aca="false">IF(H107&gt;H109,"연산","메모리")</f>
        <v>연산</v>
      </c>
      <c r="I110" s="2"/>
    </row>
    <row r="111" customFormat="false" ht="15" hidden="false" customHeight="false" outlineLevel="0" collapsed="false">
      <c r="A111" s="16" t="s">
        <v>14</v>
      </c>
      <c r="B111" s="71" t="n">
        <f aca="false">(B105+B106)*(1+설정!$B$14)+B104+설정!$B$15</f>
        <v>112.503976156863</v>
      </c>
      <c r="C111" s="71" t="n">
        <f aca="false">(C105+C106)*(1+설정!$B$14)+C104+설정!$B$15</f>
        <v>193.290284570102</v>
      </c>
      <c r="D111" s="71" t="n">
        <f aca="false">(D105+D106)*(1+설정!$B$14)+D104+설정!$B$15</f>
        <v>359.837773595106</v>
      </c>
      <c r="E111" s="71" t="n">
        <f aca="false">(E105+E106)*(1+설정!$B$14)+E104+설정!$B$15</f>
        <v>698.306395240408</v>
      </c>
      <c r="F111" s="71" t="n">
        <f aca="false">(F105+F106)*(1+설정!$B$14)+F104+설정!$B$15</f>
        <v>1415.96463927617</v>
      </c>
      <c r="G111" s="71" t="n">
        <f aca="false">(G105+G106)*(1+설정!$B$14)+G104+설정!$B$15</f>
        <v>2905.97504888671</v>
      </c>
      <c r="H111" s="71" t="n">
        <f aca="false">(H105+H106)*(1+설정!$B$14)+H104+설정!$B$15</f>
        <v>6209.25906861679</v>
      </c>
      <c r="I111" s="2"/>
    </row>
    <row r="112" customFormat="false" ht="17.15" hidden="false" customHeight="false" outlineLevel="0" collapsed="false">
      <c r="A112" s="30" t="s">
        <v>360</v>
      </c>
      <c r="B112" s="72" t="n">
        <f aca="false">IF(B111&gt;0,B104/B111,0)</f>
        <v>0</v>
      </c>
      <c r="C112" s="72" t="n">
        <f aca="false">IF(C111&gt;0,C104/C111,0)</f>
        <v>0</v>
      </c>
      <c r="D112" s="72" t="n">
        <f aca="false">IF(D111&gt;0,D104/D111,0)</f>
        <v>0</v>
      </c>
      <c r="E112" s="72" t="n">
        <f aca="false">IF(E111&gt;0,E104/E111,0)</f>
        <v>0</v>
      </c>
      <c r="F112" s="72" t="n">
        <f aca="false">IF(F111&gt;0,F104/F111,0)</f>
        <v>0</v>
      </c>
      <c r="G112" s="72" t="n">
        <f aca="false">IF(G111&gt;0,G104/G111,0)</f>
        <v>0</v>
      </c>
      <c r="H112" s="72" t="n">
        <f aca="false">IF(H111&gt;0,H104/H111,0)</f>
        <v>0</v>
      </c>
      <c r="I112" s="2"/>
    </row>
    <row r="113" customFormat="false" ht="17.15" hidden="false" customHeight="false" outlineLevel="0" collapsed="false">
      <c r="A113" s="30" t="s">
        <v>361</v>
      </c>
      <c r="B113" s="72" t="n">
        <f aca="false">IF(B111&gt;0,B103*(1+설정!$B$14)/B111,0)</f>
        <v>0</v>
      </c>
      <c r="C113" s="72" t="n">
        <f aca="false">IF(C111&gt;0,C103*(1+설정!$B$14)/C111,0)</f>
        <v>0</v>
      </c>
      <c r="D113" s="72" t="n">
        <f aca="false">IF(D111&gt;0,D103*(1+설정!$B$14)/D111,0)</f>
        <v>0</v>
      </c>
      <c r="E113" s="72" t="n">
        <f aca="false">IF(E111&gt;0,E103*(1+설정!$B$14)/E111,0)</f>
        <v>0</v>
      </c>
      <c r="F113" s="72" t="n">
        <f aca="false">IF(F111&gt;0,F103*(1+설정!$B$14)/F111,0)</f>
        <v>0</v>
      </c>
      <c r="G113" s="72" t="n">
        <f aca="false">IF(G111&gt;0,G103*(1+설정!$B$14)/G111,0)</f>
        <v>0</v>
      </c>
      <c r="H113" s="72" t="n">
        <f aca="false">IF(H111&gt;0,H103*(1+설정!$B$14)/H111,0)</f>
        <v>0</v>
      </c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7.15" hidden="false" customHeight="false" outlineLevel="0" collapsed="false">
      <c r="A115" s="28" t="s">
        <v>362</v>
      </c>
      <c r="B115" s="29"/>
      <c r="C115" s="29"/>
      <c r="D115" s="29"/>
      <c r="E115" s="29"/>
      <c r="F115" s="29"/>
      <c r="G115" s="29"/>
      <c r="H115" s="29"/>
      <c r="I115" s="29"/>
    </row>
    <row r="116" customFormat="false" ht="15" hidden="false" customHeight="false" outlineLevel="0" collapsed="false">
      <c r="A116" s="7" t="s">
        <v>363</v>
      </c>
      <c r="B116" s="73" t="n">
        <f aca="false">설정!$B$54+설정!$B$51*설정!$B$52</f>
        <v>256</v>
      </c>
      <c r="C116" s="73" t="n">
        <f aca="false">설정!$C$54+설정!$B$51*설정!$B$52</f>
        <v>384</v>
      </c>
      <c r="D116" s="73" t="n">
        <f aca="false">설정!$D$54+설정!$B$51*설정!$B$52</f>
        <v>640</v>
      </c>
      <c r="E116" s="73" t="n">
        <f aca="false">설정!$E$54+설정!$B$51*설정!$B$52</f>
        <v>1152</v>
      </c>
      <c r="F116" s="73" t="n">
        <f aca="false">설정!$F$54+설정!$B$51*설정!$B$52</f>
        <v>2176</v>
      </c>
      <c r="G116" s="73" t="n">
        <f aca="false">설정!$G$54+설정!$B$51*설정!$B$52</f>
        <v>4224</v>
      </c>
      <c r="H116" s="73" t="n">
        <f aca="false">설정!$H$54+설정!$B$51*설정!$B$52</f>
        <v>8320</v>
      </c>
      <c r="I116" s="2"/>
    </row>
    <row r="117" customFormat="false" ht="17.15" hidden="false" customHeight="false" outlineLevel="0" collapsed="false">
      <c r="A117" s="30" t="s">
        <v>281</v>
      </c>
      <c r="B117" s="67" t="n">
        <f aca="false">($D$5)*2*(1)*$B$5*$C$5</f>
        <v>1073741824</v>
      </c>
      <c r="C117" s="67" t="n">
        <f aca="false">($D$5)*2*(1)*$B$5*$C$5</f>
        <v>1073741824</v>
      </c>
      <c r="D117" s="67" t="n">
        <f aca="false">($D$5)*2*(1)*$B$5*$C$5</f>
        <v>1073741824</v>
      </c>
      <c r="E117" s="67" t="n">
        <f aca="false">($D$5)*2*(1)*$B$5*$C$5</f>
        <v>1073741824</v>
      </c>
      <c r="F117" s="67" t="n">
        <f aca="false">($D$5)*2*(1)*$B$5*$C$5</f>
        <v>1073741824</v>
      </c>
      <c r="G117" s="67" t="n">
        <f aca="false">($D$5)*2*(1)*$B$5*$C$5</f>
        <v>1073741824</v>
      </c>
      <c r="H117" s="67" t="n">
        <f aca="false">($D$5)*2*(1)*$B$5*$C$5</f>
        <v>1073741824</v>
      </c>
      <c r="I117" s="2"/>
    </row>
    <row r="118" customFormat="false" ht="17.15" hidden="false" customHeight="false" outlineLevel="0" collapsed="false">
      <c r="A118" s="30" t="s">
        <v>282</v>
      </c>
      <c r="B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277086208</v>
      </c>
      <c r="C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277086208</v>
      </c>
      <c r="D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277086208</v>
      </c>
      <c r="E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277086208</v>
      </c>
      <c r="F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277086208</v>
      </c>
      <c r="G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277086208</v>
      </c>
      <c r="H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277086208</v>
      </c>
      <c r="I118" s="2"/>
    </row>
    <row r="119" customFormat="false" ht="17.15" hidden="false" customHeight="false" outlineLevel="0" collapsed="false">
      <c r="A119" s="30" t="s">
        <v>283</v>
      </c>
      <c r="B119" s="68" t="n">
        <f aca="false">MAX(B117/$I$5,B118/설정!$B$60)*1000</f>
        <v>5.43306290196079</v>
      </c>
      <c r="C119" s="68" t="n">
        <f aca="false">MAX(C117/$I$5,C118/설정!$B$60)*1000</f>
        <v>5.43306290196079</v>
      </c>
      <c r="D119" s="68" t="n">
        <f aca="false">MAX(D117/$I$5,D118/설정!$B$60)*1000</f>
        <v>5.43306290196079</v>
      </c>
      <c r="E119" s="68" t="n">
        <f aca="false">MAX(E117/$I$5,E118/설정!$B$60)*1000</f>
        <v>5.43306290196079</v>
      </c>
      <c r="F119" s="68" t="n">
        <f aca="false">MAX(F117/$I$5,F118/설정!$B$60)*1000</f>
        <v>5.43306290196079</v>
      </c>
      <c r="G119" s="68" t="n">
        <f aca="false">MAX(G117/$I$5,G118/설정!$B$60)*1000</f>
        <v>5.43306290196079</v>
      </c>
      <c r="H119" s="68" t="n">
        <f aca="false">MAX(H117/$I$5,H118/설정!$B$60)*1000</f>
        <v>5.43306290196079</v>
      </c>
      <c r="I119" s="2"/>
    </row>
    <row r="120" customFormat="false" ht="17.15" hidden="false" customHeight="false" outlineLevel="0" collapsed="false">
      <c r="A120" s="30" t="s">
        <v>284</v>
      </c>
      <c r="B120" s="67" t="n">
        <f aca="false">($D$6)*2*(1)*$B$6*$C$6</f>
        <v>268435456</v>
      </c>
      <c r="C120" s="67" t="n">
        <f aca="false">($D$6)*2*(1)*$B$6*$C$6</f>
        <v>268435456</v>
      </c>
      <c r="D120" s="67" t="n">
        <f aca="false">($D$6)*2*(1)*$B$6*$C$6</f>
        <v>268435456</v>
      </c>
      <c r="E120" s="67" t="n">
        <f aca="false">($D$6)*2*(1)*$B$6*$C$6</f>
        <v>268435456</v>
      </c>
      <c r="F120" s="67" t="n">
        <f aca="false">($D$6)*2*(1)*$B$6*$C$6</f>
        <v>268435456</v>
      </c>
      <c r="G120" s="67" t="n">
        <f aca="false">($D$6)*2*(1)*$B$6*$C$6</f>
        <v>268435456</v>
      </c>
      <c r="H120" s="67" t="n">
        <f aca="false">($D$6)*2*(1)*$B$6*$C$6</f>
        <v>268435456</v>
      </c>
      <c r="I120" s="2"/>
    </row>
    <row r="121" customFormat="false" ht="17.15" hidden="false" customHeight="false" outlineLevel="0" collapsed="false">
      <c r="A121" s="30" t="s">
        <v>285</v>
      </c>
      <c r="B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69369856</v>
      </c>
      <c r="C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69369856</v>
      </c>
      <c r="D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69369856</v>
      </c>
      <c r="E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69369856</v>
      </c>
      <c r="F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69369856</v>
      </c>
      <c r="G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69369856</v>
      </c>
      <c r="H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69369856</v>
      </c>
      <c r="I121" s="2"/>
    </row>
    <row r="122" customFormat="false" ht="17.15" hidden="false" customHeight="false" outlineLevel="0" collapsed="false">
      <c r="A122" s="30" t="s">
        <v>286</v>
      </c>
      <c r="B122" s="68" t="n">
        <f aca="false">MAX(B120/$I$6,B121/설정!$B$60)*1000</f>
        <v>1.36019325490196</v>
      </c>
      <c r="C122" s="68" t="n">
        <f aca="false">MAX(C120/$I$6,C121/설정!$B$60)*1000</f>
        <v>1.36019325490196</v>
      </c>
      <c r="D122" s="68" t="n">
        <f aca="false">MAX(D120/$I$6,D121/설정!$B$60)*1000</f>
        <v>1.36019325490196</v>
      </c>
      <c r="E122" s="68" t="n">
        <f aca="false">MAX(E120/$I$6,E121/설정!$B$60)*1000</f>
        <v>1.36019325490196</v>
      </c>
      <c r="F122" s="68" t="n">
        <f aca="false">MAX(F120/$I$6,F121/설정!$B$60)*1000</f>
        <v>1.36019325490196</v>
      </c>
      <c r="G122" s="68" t="n">
        <f aca="false">MAX(G120/$I$6,G121/설정!$B$60)*1000</f>
        <v>1.36019325490196</v>
      </c>
      <c r="H122" s="68" t="n">
        <f aca="false">MAX(H120/$I$6,H121/설정!$B$60)*1000</f>
        <v>1.36019325490196</v>
      </c>
      <c r="I122" s="2"/>
    </row>
    <row r="123" customFormat="false" ht="17.15" hidden="false" customHeight="false" outlineLevel="0" collapsed="false">
      <c r="A123" s="30" t="s">
        <v>287</v>
      </c>
      <c r="B123" s="67" t="n">
        <f aca="false">($D$7)*2*(1)*$B$7*$C$7</f>
        <v>268435456</v>
      </c>
      <c r="C123" s="67" t="n">
        <f aca="false">($D$7)*2*(1)*$B$7*$C$7</f>
        <v>268435456</v>
      </c>
      <c r="D123" s="67" t="n">
        <f aca="false">($D$7)*2*(1)*$B$7*$C$7</f>
        <v>268435456</v>
      </c>
      <c r="E123" s="67" t="n">
        <f aca="false">($D$7)*2*(1)*$B$7*$C$7</f>
        <v>268435456</v>
      </c>
      <c r="F123" s="67" t="n">
        <f aca="false">($D$7)*2*(1)*$B$7*$C$7</f>
        <v>268435456</v>
      </c>
      <c r="G123" s="67" t="n">
        <f aca="false">($D$7)*2*(1)*$B$7*$C$7</f>
        <v>268435456</v>
      </c>
      <c r="H123" s="67" t="n">
        <f aca="false">($D$7)*2*(1)*$B$7*$C$7</f>
        <v>268435456</v>
      </c>
      <c r="I123" s="2"/>
    </row>
    <row r="124" customFormat="false" ht="17.15" hidden="false" customHeight="false" outlineLevel="0" collapsed="false">
      <c r="A124" s="30" t="s">
        <v>288</v>
      </c>
      <c r="B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69369856</v>
      </c>
      <c r="C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69369856</v>
      </c>
      <c r="D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69369856</v>
      </c>
      <c r="E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69369856</v>
      </c>
      <c r="F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69369856</v>
      </c>
      <c r="G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69369856</v>
      </c>
      <c r="H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69369856</v>
      </c>
      <c r="I124" s="2"/>
    </row>
    <row r="125" customFormat="false" ht="17.15" hidden="false" customHeight="false" outlineLevel="0" collapsed="false">
      <c r="A125" s="30" t="s">
        <v>289</v>
      </c>
      <c r="B125" s="68" t="n">
        <f aca="false">MAX(B123/$I$7,B124/설정!$B$60)*1000</f>
        <v>1.36019325490196</v>
      </c>
      <c r="C125" s="68" t="n">
        <f aca="false">MAX(C123/$I$7,C124/설정!$B$60)*1000</f>
        <v>1.36019325490196</v>
      </c>
      <c r="D125" s="68" t="n">
        <f aca="false">MAX(D123/$I$7,D124/설정!$B$60)*1000</f>
        <v>1.36019325490196</v>
      </c>
      <c r="E125" s="68" t="n">
        <f aca="false">MAX(E123/$I$7,E124/설정!$B$60)*1000</f>
        <v>1.36019325490196</v>
      </c>
      <c r="F125" s="68" t="n">
        <f aca="false">MAX(F123/$I$7,F124/설정!$B$60)*1000</f>
        <v>1.36019325490196</v>
      </c>
      <c r="G125" s="68" t="n">
        <f aca="false">MAX(G123/$I$7,G124/설정!$B$60)*1000</f>
        <v>1.36019325490196</v>
      </c>
      <c r="H125" s="68" t="n">
        <f aca="false">MAX(H123/$I$7,H124/설정!$B$60)*1000</f>
        <v>1.36019325490196</v>
      </c>
      <c r="I125" s="2"/>
    </row>
    <row r="126" customFormat="false" ht="17.15" hidden="false" customHeight="false" outlineLevel="0" collapsed="false">
      <c r="A126" s="30" t="s">
        <v>290</v>
      </c>
      <c r="B126" s="67" t="n">
        <f aca="false">($D$8)*2*(1)*$B$8*$C$8</f>
        <v>1073741824</v>
      </c>
      <c r="C126" s="67" t="n">
        <f aca="false">($D$8)*2*(1)*$B$8*$C$8</f>
        <v>1073741824</v>
      </c>
      <c r="D126" s="67" t="n">
        <f aca="false">($D$8)*2*(1)*$B$8*$C$8</f>
        <v>1073741824</v>
      </c>
      <c r="E126" s="67" t="n">
        <f aca="false">($D$8)*2*(1)*$B$8*$C$8</f>
        <v>1073741824</v>
      </c>
      <c r="F126" s="67" t="n">
        <f aca="false">($D$8)*2*(1)*$B$8*$C$8</f>
        <v>1073741824</v>
      </c>
      <c r="G126" s="67" t="n">
        <f aca="false">($D$8)*2*(1)*$B$8*$C$8</f>
        <v>1073741824</v>
      </c>
      <c r="H126" s="67" t="n">
        <f aca="false">($D$8)*2*(1)*$B$8*$C$8</f>
        <v>1073741824</v>
      </c>
      <c r="I126" s="2"/>
    </row>
    <row r="127" customFormat="false" ht="17.15" hidden="false" customHeight="false" outlineLevel="0" collapsed="false">
      <c r="A127" s="30" t="s">
        <v>291</v>
      </c>
      <c r="B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277086208</v>
      </c>
      <c r="C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277086208</v>
      </c>
      <c r="D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277086208</v>
      </c>
      <c r="E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277086208</v>
      </c>
      <c r="F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277086208</v>
      </c>
      <c r="G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277086208</v>
      </c>
      <c r="H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277086208</v>
      </c>
      <c r="I127" s="2"/>
    </row>
    <row r="128" customFormat="false" ht="17.15" hidden="false" customHeight="false" outlineLevel="0" collapsed="false">
      <c r="A128" s="30" t="s">
        <v>292</v>
      </c>
      <c r="B128" s="68" t="n">
        <f aca="false">MAX(B126/$I$8,B127/설정!$B$60)*1000</f>
        <v>5.43306290196079</v>
      </c>
      <c r="C128" s="68" t="n">
        <f aca="false">MAX(C126/$I$8,C127/설정!$B$60)*1000</f>
        <v>5.43306290196079</v>
      </c>
      <c r="D128" s="68" t="n">
        <f aca="false">MAX(D126/$I$8,D127/설정!$B$60)*1000</f>
        <v>5.43306290196079</v>
      </c>
      <c r="E128" s="68" t="n">
        <f aca="false">MAX(E126/$I$8,E127/설정!$B$60)*1000</f>
        <v>5.43306290196079</v>
      </c>
      <c r="F128" s="68" t="n">
        <f aca="false">MAX(F126/$I$8,F127/설정!$B$60)*1000</f>
        <v>5.43306290196079</v>
      </c>
      <c r="G128" s="68" t="n">
        <f aca="false">MAX(G126/$I$8,G127/설정!$B$60)*1000</f>
        <v>5.43306290196079</v>
      </c>
      <c r="H128" s="68" t="n">
        <f aca="false">MAX(H126/$I$8,H127/설정!$B$60)*1000</f>
        <v>5.43306290196079</v>
      </c>
      <c r="I128" s="2"/>
    </row>
    <row r="129" customFormat="false" ht="17.15" hidden="false" customHeight="false" outlineLevel="0" collapsed="false">
      <c r="A129" s="30" t="s">
        <v>293</v>
      </c>
      <c r="B129" s="67" t="n">
        <f aca="false">($D$9)*2*(1)*$B$9*$C$9</f>
        <v>0</v>
      </c>
      <c r="C129" s="67" t="n">
        <f aca="false">($D$9)*2*(1)*$B$9*$C$9</f>
        <v>0</v>
      </c>
      <c r="D129" s="67" t="n">
        <f aca="false">($D$9)*2*(1)*$B$9*$C$9</f>
        <v>0</v>
      </c>
      <c r="E129" s="67" t="n">
        <f aca="false">($D$9)*2*(1)*$B$9*$C$9</f>
        <v>0</v>
      </c>
      <c r="F129" s="67" t="n">
        <f aca="false">($D$9)*2*(1)*$B$9*$C$9</f>
        <v>0</v>
      </c>
      <c r="G129" s="67" t="n">
        <f aca="false">($D$9)*2*(1)*$B$9*$C$9</f>
        <v>0</v>
      </c>
      <c r="H129" s="67" t="n">
        <f aca="false">($D$9)*2*(1)*$B$9*$C$9</f>
        <v>0</v>
      </c>
      <c r="I129" s="2"/>
    </row>
    <row r="130" customFormat="false" ht="17.15" hidden="false" customHeight="false" outlineLevel="0" collapsed="false">
      <c r="A130" s="30" t="s">
        <v>294</v>
      </c>
      <c r="B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C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D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E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F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G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H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I130" s="2"/>
    </row>
    <row r="131" customFormat="false" ht="17.15" hidden="false" customHeight="false" outlineLevel="0" collapsed="false">
      <c r="A131" s="30" t="s">
        <v>295</v>
      </c>
      <c r="B131" s="68" t="n">
        <f aca="false">MAX(B129/$I$9,B130/설정!$B$60)*1000</f>
        <v>0</v>
      </c>
      <c r="C131" s="68" t="n">
        <f aca="false">MAX(C129/$I$9,C130/설정!$B$60)*1000</f>
        <v>0</v>
      </c>
      <c r="D131" s="68" t="n">
        <f aca="false">MAX(D129/$I$9,D130/설정!$B$60)*1000</f>
        <v>0</v>
      </c>
      <c r="E131" s="68" t="n">
        <f aca="false">MAX(E129/$I$9,E130/설정!$B$60)*1000</f>
        <v>0</v>
      </c>
      <c r="F131" s="68" t="n">
        <f aca="false">MAX(F129/$I$9,F130/설정!$B$60)*1000</f>
        <v>0</v>
      </c>
      <c r="G131" s="68" t="n">
        <f aca="false">MAX(G129/$I$9,G130/설정!$B$60)*1000</f>
        <v>0</v>
      </c>
      <c r="H131" s="68" t="n">
        <f aca="false">MAX(H129/$I$9,H130/설정!$B$60)*1000</f>
        <v>0</v>
      </c>
      <c r="I131" s="2"/>
    </row>
    <row r="132" customFormat="false" ht="17.15" hidden="false" customHeight="false" outlineLevel="0" collapsed="false">
      <c r="A132" s="30" t="s">
        <v>296</v>
      </c>
      <c r="B132" s="67" t="n">
        <f aca="false">($D$10)*2*(1)*$B$10*$C$10</f>
        <v>0</v>
      </c>
      <c r="C132" s="67" t="n">
        <f aca="false">($D$10)*2*(1)*$B$10*$C$10</f>
        <v>0</v>
      </c>
      <c r="D132" s="67" t="n">
        <f aca="false">($D$10)*2*(1)*$B$10*$C$10</f>
        <v>0</v>
      </c>
      <c r="E132" s="67" t="n">
        <f aca="false">($D$10)*2*(1)*$B$10*$C$10</f>
        <v>0</v>
      </c>
      <c r="F132" s="67" t="n">
        <f aca="false">($D$10)*2*(1)*$B$10*$C$10</f>
        <v>0</v>
      </c>
      <c r="G132" s="67" t="n">
        <f aca="false">($D$10)*2*(1)*$B$10*$C$10</f>
        <v>0</v>
      </c>
      <c r="H132" s="67" t="n">
        <f aca="false">($D$10)*2*(1)*$B$10*$C$10</f>
        <v>0</v>
      </c>
      <c r="I132" s="2"/>
    </row>
    <row r="133" customFormat="false" ht="17.15" hidden="false" customHeight="false" outlineLevel="0" collapsed="false">
      <c r="A133" s="30" t="s">
        <v>297</v>
      </c>
      <c r="B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C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D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E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F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G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H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I133" s="2"/>
    </row>
    <row r="134" customFormat="false" ht="17.15" hidden="false" customHeight="false" outlineLevel="0" collapsed="false">
      <c r="A134" s="30" t="s">
        <v>298</v>
      </c>
      <c r="B134" s="68" t="n">
        <f aca="false">MAX(B132/$I$10,B133/설정!$B$60)*1000</f>
        <v>0</v>
      </c>
      <c r="C134" s="68" t="n">
        <f aca="false">MAX(C132/$I$10,C133/설정!$B$60)*1000</f>
        <v>0</v>
      </c>
      <c r="D134" s="68" t="n">
        <f aca="false">MAX(D132/$I$10,D133/설정!$B$60)*1000</f>
        <v>0</v>
      </c>
      <c r="E134" s="68" t="n">
        <f aca="false">MAX(E132/$I$10,E133/설정!$B$60)*1000</f>
        <v>0</v>
      </c>
      <c r="F134" s="68" t="n">
        <f aca="false">MAX(F132/$I$10,F133/설정!$B$60)*1000</f>
        <v>0</v>
      </c>
      <c r="G134" s="68" t="n">
        <f aca="false">MAX(G132/$I$10,G133/설정!$B$60)*1000</f>
        <v>0</v>
      </c>
      <c r="H134" s="68" t="n">
        <f aca="false">MAX(H132/$I$10,H133/설정!$B$60)*1000</f>
        <v>0</v>
      </c>
      <c r="I134" s="2"/>
    </row>
    <row r="135" customFormat="false" ht="17.15" hidden="false" customHeight="false" outlineLevel="0" collapsed="false">
      <c r="A135" s="30" t="s">
        <v>299</v>
      </c>
      <c r="B135" s="67" t="n">
        <f aca="false">($D$11)*2*(1)*$B$11*$C$11</f>
        <v>0</v>
      </c>
      <c r="C135" s="67" t="n">
        <f aca="false">($D$11)*2*(1)*$B$11*$C$11</f>
        <v>0</v>
      </c>
      <c r="D135" s="67" t="n">
        <f aca="false">($D$11)*2*(1)*$B$11*$C$11</f>
        <v>0</v>
      </c>
      <c r="E135" s="67" t="n">
        <f aca="false">($D$11)*2*(1)*$B$11*$C$11</f>
        <v>0</v>
      </c>
      <c r="F135" s="67" t="n">
        <f aca="false">($D$11)*2*(1)*$B$11*$C$11</f>
        <v>0</v>
      </c>
      <c r="G135" s="67" t="n">
        <f aca="false">($D$11)*2*(1)*$B$11*$C$11</f>
        <v>0</v>
      </c>
      <c r="H135" s="67" t="n">
        <f aca="false">($D$11)*2*(1)*$B$11*$C$11</f>
        <v>0</v>
      </c>
      <c r="I135" s="2"/>
    </row>
    <row r="136" customFormat="false" ht="17.15" hidden="false" customHeight="false" outlineLevel="0" collapsed="false">
      <c r="A136" s="30" t="s">
        <v>300</v>
      </c>
      <c r="B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C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D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E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F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G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H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I136" s="2"/>
    </row>
    <row r="137" customFormat="false" ht="17.15" hidden="false" customHeight="false" outlineLevel="0" collapsed="false">
      <c r="A137" s="30" t="s">
        <v>301</v>
      </c>
      <c r="B137" s="68" t="n">
        <f aca="false">MAX(B135/$I$11,B136/설정!$B$60)*1000</f>
        <v>0</v>
      </c>
      <c r="C137" s="68" t="n">
        <f aca="false">MAX(C135/$I$11,C136/설정!$B$60)*1000</f>
        <v>0</v>
      </c>
      <c r="D137" s="68" t="n">
        <f aca="false">MAX(D135/$I$11,D136/설정!$B$60)*1000</f>
        <v>0</v>
      </c>
      <c r="E137" s="68" t="n">
        <f aca="false">MAX(E135/$I$11,E136/설정!$B$60)*1000</f>
        <v>0</v>
      </c>
      <c r="F137" s="68" t="n">
        <f aca="false">MAX(F135/$I$11,F136/설정!$B$60)*1000</f>
        <v>0</v>
      </c>
      <c r="G137" s="68" t="n">
        <f aca="false">MAX(G135/$I$11,G136/설정!$B$60)*1000</f>
        <v>0</v>
      </c>
      <c r="H137" s="68" t="n">
        <f aca="false">MAX(H135/$I$11,H136/설정!$B$60)*1000</f>
        <v>0</v>
      </c>
      <c r="I137" s="2"/>
    </row>
    <row r="138" customFormat="false" ht="17.15" hidden="false" customHeight="false" outlineLevel="0" collapsed="false">
      <c r="A138" s="30" t="s">
        <v>302</v>
      </c>
      <c r="B138" s="67" t="n">
        <f aca="false">($D$12)*2*(1)*$B$12*$C$12</f>
        <v>0</v>
      </c>
      <c r="C138" s="67" t="n">
        <f aca="false">($D$12)*2*(1)*$B$12*$C$12</f>
        <v>0</v>
      </c>
      <c r="D138" s="67" t="n">
        <f aca="false">($D$12)*2*(1)*$B$12*$C$12</f>
        <v>0</v>
      </c>
      <c r="E138" s="67" t="n">
        <f aca="false">($D$12)*2*(1)*$B$12*$C$12</f>
        <v>0</v>
      </c>
      <c r="F138" s="67" t="n">
        <f aca="false">($D$12)*2*(1)*$B$12*$C$12</f>
        <v>0</v>
      </c>
      <c r="G138" s="67" t="n">
        <f aca="false">($D$12)*2*(1)*$B$12*$C$12</f>
        <v>0</v>
      </c>
      <c r="H138" s="67" t="n">
        <f aca="false">($D$12)*2*(1)*$B$12*$C$12</f>
        <v>0</v>
      </c>
      <c r="I138" s="2"/>
    </row>
    <row r="139" customFormat="false" ht="17.15" hidden="false" customHeight="false" outlineLevel="0" collapsed="false">
      <c r="A139" s="30" t="s">
        <v>303</v>
      </c>
      <c r="B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C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D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E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F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G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H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I139" s="2"/>
    </row>
    <row r="140" customFormat="false" ht="17.15" hidden="false" customHeight="false" outlineLevel="0" collapsed="false">
      <c r="A140" s="30" t="s">
        <v>304</v>
      </c>
      <c r="B140" s="68" t="n">
        <f aca="false">MAX(B138/$I$12,B139/설정!$B$60)*1000</f>
        <v>0</v>
      </c>
      <c r="C140" s="68" t="n">
        <f aca="false">MAX(C138/$I$12,C139/설정!$B$60)*1000</f>
        <v>0</v>
      </c>
      <c r="D140" s="68" t="n">
        <f aca="false">MAX(D138/$I$12,D139/설정!$B$60)*1000</f>
        <v>0</v>
      </c>
      <c r="E140" s="68" t="n">
        <f aca="false">MAX(E138/$I$12,E139/설정!$B$60)*1000</f>
        <v>0</v>
      </c>
      <c r="F140" s="68" t="n">
        <f aca="false">MAX(F138/$I$12,F139/설정!$B$60)*1000</f>
        <v>0</v>
      </c>
      <c r="G140" s="68" t="n">
        <f aca="false">MAX(G138/$I$12,G139/설정!$B$60)*1000</f>
        <v>0</v>
      </c>
      <c r="H140" s="68" t="n">
        <f aca="false">MAX(H138/$I$12,H139/설정!$B$60)*1000</f>
        <v>0</v>
      </c>
      <c r="I140" s="2"/>
    </row>
    <row r="141" customFormat="false" ht="17.15" hidden="false" customHeight="false" outlineLevel="0" collapsed="false">
      <c r="A141" s="30" t="s">
        <v>305</v>
      </c>
      <c r="B141" s="67" t="n">
        <f aca="false">($D$13)*2*(1)*$B$13*$C$13</f>
        <v>0</v>
      </c>
      <c r="C141" s="67" t="n">
        <f aca="false">($D$13)*2*(1)*$B$13*$C$13</f>
        <v>0</v>
      </c>
      <c r="D141" s="67" t="n">
        <f aca="false">($D$13)*2*(1)*$B$13*$C$13</f>
        <v>0</v>
      </c>
      <c r="E141" s="67" t="n">
        <f aca="false">($D$13)*2*(1)*$B$13*$C$13</f>
        <v>0</v>
      </c>
      <c r="F141" s="67" t="n">
        <f aca="false">($D$13)*2*(1)*$B$13*$C$13</f>
        <v>0</v>
      </c>
      <c r="G141" s="67" t="n">
        <f aca="false">($D$13)*2*(1)*$B$13*$C$13</f>
        <v>0</v>
      </c>
      <c r="H141" s="67" t="n">
        <f aca="false">($D$13)*2*(1)*$B$13*$C$13</f>
        <v>0</v>
      </c>
      <c r="I141" s="2"/>
    </row>
    <row r="142" customFormat="false" ht="17.15" hidden="false" customHeight="false" outlineLevel="0" collapsed="false">
      <c r="A142" s="30" t="s">
        <v>306</v>
      </c>
      <c r="B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C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D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E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F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G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H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I142" s="2"/>
    </row>
    <row r="143" customFormat="false" ht="17.15" hidden="false" customHeight="false" outlineLevel="0" collapsed="false">
      <c r="A143" s="30" t="s">
        <v>307</v>
      </c>
      <c r="B143" s="68" t="n">
        <f aca="false">MAX(B141/$I$13,B142/설정!$B$60)*1000</f>
        <v>0</v>
      </c>
      <c r="C143" s="68" t="n">
        <f aca="false">MAX(C141/$I$13,C142/설정!$B$60)*1000</f>
        <v>0</v>
      </c>
      <c r="D143" s="68" t="n">
        <f aca="false">MAX(D141/$I$13,D142/설정!$B$60)*1000</f>
        <v>0</v>
      </c>
      <c r="E143" s="68" t="n">
        <f aca="false">MAX(E141/$I$13,E142/설정!$B$60)*1000</f>
        <v>0</v>
      </c>
      <c r="F143" s="68" t="n">
        <f aca="false">MAX(F141/$I$13,F142/설정!$B$60)*1000</f>
        <v>0</v>
      </c>
      <c r="G143" s="68" t="n">
        <f aca="false">MAX(G141/$I$13,G142/설정!$B$60)*1000</f>
        <v>0</v>
      </c>
      <c r="H143" s="68" t="n">
        <f aca="false">MAX(H141/$I$13,H142/설정!$B$60)*1000</f>
        <v>0</v>
      </c>
      <c r="I143" s="2"/>
    </row>
    <row r="144" customFormat="false" ht="17.15" hidden="false" customHeight="false" outlineLevel="0" collapsed="false">
      <c r="A144" s="30" t="s">
        <v>308</v>
      </c>
      <c r="B144" s="67" t="n">
        <f aca="false">($D$14)*2*(1)*$B$14*$C$14</f>
        <v>0</v>
      </c>
      <c r="C144" s="67" t="n">
        <f aca="false">($D$14)*2*(1)*$B$14*$C$14</f>
        <v>0</v>
      </c>
      <c r="D144" s="67" t="n">
        <f aca="false">($D$14)*2*(1)*$B$14*$C$14</f>
        <v>0</v>
      </c>
      <c r="E144" s="67" t="n">
        <f aca="false">($D$14)*2*(1)*$B$14*$C$14</f>
        <v>0</v>
      </c>
      <c r="F144" s="67" t="n">
        <f aca="false">($D$14)*2*(1)*$B$14*$C$14</f>
        <v>0</v>
      </c>
      <c r="G144" s="67" t="n">
        <f aca="false">($D$14)*2*(1)*$B$14*$C$14</f>
        <v>0</v>
      </c>
      <c r="H144" s="67" t="n">
        <f aca="false">($D$14)*2*(1)*$B$14*$C$14</f>
        <v>0</v>
      </c>
      <c r="I144" s="2"/>
    </row>
    <row r="145" customFormat="false" ht="17.15" hidden="false" customHeight="false" outlineLevel="0" collapsed="false">
      <c r="A145" s="30" t="s">
        <v>309</v>
      </c>
      <c r="B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C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D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E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F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G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H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I145" s="2"/>
    </row>
    <row r="146" customFormat="false" ht="17.15" hidden="false" customHeight="false" outlineLevel="0" collapsed="false">
      <c r="A146" s="30" t="s">
        <v>310</v>
      </c>
      <c r="B146" s="68" t="n">
        <f aca="false">MAX(B144/$I$14,B145/설정!$B$60)*1000</f>
        <v>0</v>
      </c>
      <c r="C146" s="68" t="n">
        <f aca="false">MAX(C144/$I$14,C145/설정!$B$60)*1000</f>
        <v>0</v>
      </c>
      <c r="D146" s="68" t="n">
        <f aca="false">MAX(D144/$I$14,D145/설정!$B$60)*1000</f>
        <v>0</v>
      </c>
      <c r="E146" s="68" t="n">
        <f aca="false">MAX(E144/$I$14,E145/설정!$B$60)*1000</f>
        <v>0</v>
      </c>
      <c r="F146" s="68" t="n">
        <f aca="false">MAX(F144/$I$14,F145/설정!$B$60)*1000</f>
        <v>0</v>
      </c>
      <c r="G146" s="68" t="n">
        <f aca="false">MAX(G144/$I$14,G145/설정!$B$60)*1000</f>
        <v>0</v>
      </c>
      <c r="H146" s="68" t="n">
        <f aca="false">MAX(H144/$I$14,H145/설정!$B$60)*1000</f>
        <v>0</v>
      </c>
      <c r="I146" s="2"/>
    </row>
    <row r="147" customFormat="false" ht="17.15" hidden="false" customHeight="false" outlineLevel="0" collapsed="false">
      <c r="A147" s="30" t="s">
        <v>311</v>
      </c>
      <c r="B147" s="67" t="n">
        <f aca="false">($D$15)*2*(1)*$B$15*$C$15</f>
        <v>0</v>
      </c>
      <c r="C147" s="67" t="n">
        <f aca="false">($D$15)*2*(1)*$B$15*$C$15</f>
        <v>0</v>
      </c>
      <c r="D147" s="67" t="n">
        <f aca="false">($D$15)*2*(1)*$B$15*$C$15</f>
        <v>0</v>
      </c>
      <c r="E147" s="67" t="n">
        <f aca="false">($D$15)*2*(1)*$B$15*$C$15</f>
        <v>0</v>
      </c>
      <c r="F147" s="67" t="n">
        <f aca="false">($D$15)*2*(1)*$B$15*$C$15</f>
        <v>0</v>
      </c>
      <c r="G147" s="67" t="n">
        <f aca="false">($D$15)*2*(1)*$B$15*$C$15</f>
        <v>0</v>
      </c>
      <c r="H147" s="67" t="n">
        <f aca="false">($D$15)*2*(1)*$B$15*$C$15</f>
        <v>0</v>
      </c>
      <c r="I147" s="2"/>
    </row>
    <row r="148" customFormat="false" ht="17.15" hidden="false" customHeight="false" outlineLevel="0" collapsed="false">
      <c r="A148" s="30" t="s">
        <v>312</v>
      </c>
      <c r="B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C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D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E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F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G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H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I148" s="2"/>
    </row>
    <row r="149" customFormat="false" ht="17.15" hidden="false" customHeight="false" outlineLevel="0" collapsed="false">
      <c r="A149" s="30" t="s">
        <v>313</v>
      </c>
      <c r="B149" s="68" t="n">
        <f aca="false">MAX(B147/$I$15,B148/설정!$B$60)*1000</f>
        <v>0</v>
      </c>
      <c r="C149" s="68" t="n">
        <f aca="false">MAX(C147/$I$15,C148/설정!$B$60)*1000</f>
        <v>0</v>
      </c>
      <c r="D149" s="68" t="n">
        <f aca="false">MAX(D147/$I$15,D148/설정!$B$60)*1000</f>
        <v>0</v>
      </c>
      <c r="E149" s="68" t="n">
        <f aca="false">MAX(E147/$I$15,E148/설정!$B$60)*1000</f>
        <v>0</v>
      </c>
      <c r="F149" s="68" t="n">
        <f aca="false">MAX(F147/$I$15,F148/설정!$B$60)*1000</f>
        <v>0</v>
      </c>
      <c r="G149" s="68" t="n">
        <f aca="false">MAX(G147/$I$15,G148/설정!$B$60)*1000</f>
        <v>0</v>
      </c>
      <c r="H149" s="68" t="n">
        <f aca="false">MAX(H147/$I$15,H148/설정!$B$60)*1000</f>
        <v>0</v>
      </c>
      <c r="I149" s="2"/>
    </row>
    <row r="150" customFormat="false" ht="17.15" hidden="false" customHeight="false" outlineLevel="0" collapsed="false">
      <c r="A150" s="30" t="s">
        <v>314</v>
      </c>
      <c r="B150" s="67" t="n">
        <f aca="false">($D$16)*2*(1)*$B$16*$C$16</f>
        <v>0</v>
      </c>
      <c r="C150" s="67" t="n">
        <f aca="false">($D$16)*2*(1)*$B$16*$C$16</f>
        <v>0</v>
      </c>
      <c r="D150" s="67" t="n">
        <f aca="false">($D$16)*2*(1)*$B$16*$C$16</f>
        <v>0</v>
      </c>
      <c r="E150" s="67" t="n">
        <f aca="false">($D$16)*2*(1)*$B$16*$C$16</f>
        <v>0</v>
      </c>
      <c r="F150" s="67" t="n">
        <f aca="false">($D$16)*2*(1)*$B$16*$C$16</f>
        <v>0</v>
      </c>
      <c r="G150" s="67" t="n">
        <f aca="false">($D$16)*2*(1)*$B$16*$C$16</f>
        <v>0</v>
      </c>
      <c r="H150" s="67" t="n">
        <f aca="false">($D$16)*2*(1)*$B$16*$C$16</f>
        <v>0</v>
      </c>
      <c r="I150" s="2"/>
    </row>
    <row r="151" customFormat="false" ht="17.15" hidden="false" customHeight="false" outlineLevel="0" collapsed="false">
      <c r="A151" s="30" t="s">
        <v>315</v>
      </c>
      <c r="B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C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D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E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F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G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H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I151" s="2"/>
    </row>
    <row r="152" customFormat="false" ht="17.15" hidden="false" customHeight="false" outlineLevel="0" collapsed="false">
      <c r="A152" s="30" t="s">
        <v>316</v>
      </c>
      <c r="B152" s="68" t="n">
        <f aca="false">MAX(B150/$I$16,B151/설정!$B$60)*1000</f>
        <v>0</v>
      </c>
      <c r="C152" s="68" t="n">
        <f aca="false">MAX(C150/$I$16,C151/설정!$B$60)*1000</f>
        <v>0</v>
      </c>
      <c r="D152" s="68" t="n">
        <f aca="false">MAX(D150/$I$16,D151/설정!$B$60)*1000</f>
        <v>0</v>
      </c>
      <c r="E152" s="68" t="n">
        <f aca="false">MAX(E150/$I$16,E151/설정!$B$60)*1000</f>
        <v>0</v>
      </c>
      <c r="F152" s="68" t="n">
        <f aca="false">MAX(F150/$I$16,F151/설정!$B$60)*1000</f>
        <v>0</v>
      </c>
      <c r="G152" s="68" t="n">
        <f aca="false">MAX(G150/$I$16,G151/설정!$B$60)*1000</f>
        <v>0</v>
      </c>
      <c r="H152" s="68" t="n">
        <f aca="false">MAX(H150/$I$16,H151/설정!$B$60)*1000</f>
        <v>0</v>
      </c>
      <c r="I152" s="2"/>
    </row>
    <row r="153" customFormat="false" ht="17.15" hidden="false" customHeight="false" outlineLevel="0" collapsed="false">
      <c r="A153" s="30" t="s">
        <v>317</v>
      </c>
      <c r="B153" s="67" t="n">
        <f aca="false">($D$17)*2*(1)*$B$17*$C$17</f>
        <v>0</v>
      </c>
      <c r="C153" s="67" t="n">
        <f aca="false">($D$17)*2*(1)*$B$17*$C$17</f>
        <v>0</v>
      </c>
      <c r="D153" s="67" t="n">
        <f aca="false">($D$17)*2*(1)*$B$17*$C$17</f>
        <v>0</v>
      </c>
      <c r="E153" s="67" t="n">
        <f aca="false">($D$17)*2*(1)*$B$17*$C$17</f>
        <v>0</v>
      </c>
      <c r="F153" s="67" t="n">
        <f aca="false">($D$17)*2*(1)*$B$17*$C$17</f>
        <v>0</v>
      </c>
      <c r="G153" s="67" t="n">
        <f aca="false">($D$17)*2*(1)*$B$17*$C$17</f>
        <v>0</v>
      </c>
      <c r="H153" s="67" t="n">
        <f aca="false">($D$17)*2*(1)*$B$17*$C$17</f>
        <v>0</v>
      </c>
      <c r="I153" s="2"/>
    </row>
    <row r="154" customFormat="false" ht="17.15" hidden="false" customHeight="false" outlineLevel="0" collapsed="false">
      <c r="A154" s="30" t="s">
        <v>318</v>
      </c>
      <c r="B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C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D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E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F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G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H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I154" s="2"/>
    </row>
    <row r="155" customFormat="false" ht="17.15" hidden="false" customHeight="false" outlineLevel="0" collapsed="false">
      <c r="A155" s="30" t="s">
        <v>319</v>
      </c>
      <c r="B155" s="68" t="n">
        <f aca="false">MAX(B153/$I$17,B154/설정!$B$60)*1000</f>
        <v>0</v>
      </c>
      <c r="C155" s="68" t="n">
        <f aca="false">MAX(C153/$I$17,C154/설정!$B$60)*1000</f>
        <v>0</v>
      </c>
      <c r="D155" s="68" t="n">
        <f aca="false">MAX(D153/$I$17,D154/설정!$B$60)*1000</f>
        <v>0</v>
      </c>
      <c r="E155" s="68" t="n">
        <f aca="false">MAX(E153/$I$17,E154/설정!$B$60)*1000</f>
        <v>0</v>
      </c>
      <c r="F155" s="68" t="n">
        <f aca="false">MAX(F153/$I$17,F154/설정!$B$60)*1000</f>
        <v>0</v>
      </c>
      <c r="G155" s="68" t="n">
        <f aca="false">MAX(G153/$I$17,G154/설정!$B$60)*1000</f>
        <v>0</v>
      </c>
      <c r="H155" s="68" t="n">
        <f aca="false">MAX(H153/$I$17,H154/설정!$B$60)*1000</f>
        <v>0</v>
      </c>
      <c r="I155" s="2"/>
    </row>
    <row r="156" customFormat="false" ht="17.15" hidden="false" customHeight="false" outlineLevel="0" collapsed="false">
      <c r="A156" s="30" t="s">
        <v>320</v>
      </c>
      <c r="B156" s="67" t="n">
        <f aca="false">($D$18)*2*(1)*$B$18*$C$18</f>
        <v>3758096384</v>
      </c>
      <c r="C156" s="67" t="n">
        <f aca="false">($D$18)*2*(1)*$B$18*$C$18</f>
        <v>3758096384</v>
      </c>
      <c r="D156" s="67" t="n">
        <f aca="false">($D$18)*2*(1)*$B$18*$C$18</f>
        <v>3758096384</v>
      </c>
      <c r="E156" s="67" t="n">
        <f aca="false">($D$18)*2*(1)*$B$18*$C$18</f>
        <v>3758096384</v>
      </c>
      <c r="F156" s="67" t="n">
        <f aca="false">($D$18)*2*(1)*$B$18*$C$18</f>
        <v>3758096384</v>
      </c>
      <c r="G156" s="67" t="n">
        <f aca="false">($D$18)*2*(1)*$B$18*$C$18</f>
        <v>3758096384</v>
      </c>
      <c r="H156" s="67" t="n">
        <f aca="false">($D$18)*2*(1)*$B$18*$C$18</f>
        <v>3758096384</v>
      </c>
      <c r="I156" s="2"/>
    </row>
    <row r="157" customFormat="false" ht="17.15" hidden="false" customHeight="false" outlineLevel="0" collapsed="false">
      <c r="A157" s="30" t="s">
        <v>321</v>
      </c>
      <c r="B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969474048</v>
      </c>
      <c r="C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969474048</v>
      </c>
      <c r="D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969474048</v>
      </c>
      <c r="E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969474048</v>
      </c>
      <c r="F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969474048</v>
      </c>
      <c r="G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969474048</v>
      </c>
      <c r="H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969474048</v>
      </c>
      <c r="I157" s="2"/>
    </row>
    <row r="158" customFormat="false" ht="17.15" hidden="false" customHeight="false" outlineLevel="0" collapsed="false">
      <c r="A158" s="30" t="s">
        <v>322</v>
      </c>
      <c r="B158" s="68" t="n">
        <f aca="false">MAX(B156/$I$18,B157/설정!$B$60)*1000</f>
        <v>19.0092950588235</v>
      </c>
      <c r="C158" s="68" t="n">
        <f aca="false">MAX(C156/$I$18,C157/설정!$B$60)*1000</f>
        <v>19.0092950588235</v>
      </c>
      <c r="D158" s="68" t="n">
        <f aca="false">MAX(D156/$I$18,D157/설정!$B$60)*1000</f>
        <v>19.0092950588235</v>
      </c>
      <c r="E158" s="68" t="n">
        <f aca="false">MAX(E156/$I$18,E157/설정!$B$60)*1000</f>
        <v>19.0092950588235</v>
      </c>
      <c r="F158" s="68" t="n">
        <f aca="false">MAX(F156/$I$18,F157/설정!$B$60)*1000</f>
        <v>19.0092950588235</v>
      </c>
      <c r="G158" s="68" t="n">
        <f aca="false">MAX(G156/$I$18,G157/설정!$B$60)*1000</f>
        <v>19.0092950588235</v>
      </c>
      <c r="H158" s="68" t="n">
        <f aca="false">MAX(H156/$I$18,H157/설정!$B$60)*1000</f>
        <v>19.0092950588235</v>
      </c>
      <c r="I158" s="2"/>
    </row>
    <row r="159" customFormat="false" ht="17.15" hidden="false" customHeight="false" outlineLevel="0" collapsed="false">
      <c r="A159" s="30" t="s">
        <v>323</v>
      </c>
      <c r="B159" s="67" t="n">
        <f aca="false">($D$19)*2*(1)*$B$19*$C$19</f>
        <v>3758096384</v>
      </c>
      <c r="C159" s="67" t="n">
        <f aca="false">($D$19)*2*(1)*$B$19*$C$19</f>
        <v>3758096384</v>
      </c>
      <c r="D159" s="67" t="n">
        <f aca="false">($D$19)*2*(1)*$B$19*$C$19</f>
        <v>3758096384</v>
      </c>
      <c r="E159" s="67" t="n">
        <f aca="false">($D$19)*2*(1)*$B$19*$C$19</f>
        <v>3758096384</v>
      </c>
      <c r="F159" s="67" t="n">
        <f aca="false">($D$19)*2*(1)*$B$19*$C$19</f>
        <v>3758096384</v>
      </c>
      <c r="G159" s="67" t="n">
        <f aca="false">($D$19)*2*(1)*$B$19*$C$19</f>
        <v>3758096384</v>
      </c>
      <c r="H159" s="67" t="n">
        <f aca="false">($D$19)*2*(1)*$B$19*$C$19</f>
        <v>3758096384</v>
      </c>
      <c r="I159" s="2"/>
    </row>
    <row r="160" customFormat="false" ht="17.15" hidden="false" customHeight="false" outlineLevel="0" collapsed="false">
      <c r="A160" s="30" t="s">
        <v>324</v>
      </c>
      <c r="B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969474048</v>
      </c>
      <c r="C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969474048</v>
      </c>
      <c r="D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969474048</v>
      </c>
      <c r="E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969474048</v>
      </c>
      <c r="F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969474048</v>
      </c>
      <c r="G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969474048</v>
      </c>
      <c r="H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969474048</v>
      </c>
      <c r="I160" s="2"/>
    </row>
    <row r="161" customFormat="false" ht="17.15" hidden="false" customHeight="false" outlineLevel="0" collapsed="false">
      <c r="A161" s="30" t="s">
        <v>325</v>
      </c>
      <c r="B161" s="68" t="n">
        <f aca="false">MAX(B159/$I$19,B160/설정!$B$60)*1000</f>
        <v>19.0092950588235</v>
      </c>
      <c r="C161" s="68" t="n">
        <f aca="false">MAX(C159/$I$19,C160/설정!$B$60)*1000</f>
        <v>19.0092950588235</v>
      </c>
      <c r="D161" s="68" t="n">
        <f aca="false">MAX(D159/$I$19,D160/설정!$B$60)*1000</f>
        <v>19.0092950588235</v>
      </c>
      <c r="E161" s="68" t="n">
        <f aca="false">MAX(E159/$I$19,E160/설정!$B$60)*1000</f>
        <v>19.0092950588235</v>
      </c>
      <c r="F161" s="68" t="n">
        <f aca="false">MAX(F159/$I$19,F160/설정!$B$60)*1000</f>
        <v>19.0092950588235</v>
      </c>
      <c r="G161" s="68" t="n">
        <f aca="false">MAX(G159/$I$19,G160/설정!$B$60)*1000</f>
        <v>19.0092950588235</v>
      </c>
      <c r="H161" s="68" t="n">
        <f aca="false">MAX(H159/$I$19,H160/설정!$B$60)*1000</f>
        <v>19.0092950588235</v>
      </c>
      <c r="I161" s="2"/>
    </row>
    <row r="162" customFormat="false" ht="17.15" hidden="false" customHeight="false" outlineLevel="0" collapsed="false">
      <c r="A162" s="30" t="s">
        <v>326</v>
      </c>
      <c r="B162" s="67" t="n">
        <f aca="false">($D$20)*2*(1)*$B$20*$C$20</f>
        <v>3758096384</v>
      </c>
      <c r="C162" s="67" t="n">
        <f aca="false">($D$20)*2*(1)*$B$20*$C$20</f>
        <v>3758096384</v>
      </c>
      <c r="D162" s="67" t="n">
        <f aca="false">($D$20)*2*(1)*$B$20*$C$20</f>
        <v>3758096384</v>
      </c>
      <c r="E162" s="67" t="n">
        <f aca="false">($D$20)*2*(1)*$B$20*$C$20</f>
        <v>3758096384</v>
      </c>
      <c r="F162" s="67" t="n">
        <f aca="false">($D$20)*2*(1)*$B$20*$C$20</f>
        <v>3758096384</v>
      </c>
      <c r="G162" s="67" t="n">
        <f aca="false">($D$20)*2*(1)*$B$20*$C$20</f>
        <v>3758096384</v>
      </c>
      <c r="H162" s="67" t="n">
        <f aca="false">($D$20)*2*(1)*$B$20*$C$20</f>
        <v>3758096384</v>
      </c>
      <c r="I162" s="2"/>
    </row>
    <row r="163" customFormat="false" ht="17.15" hidden="false" customHeight="false" outlineLevel="0" collapsed="false">
      <c r="A163" s="30" t="s">
        <v>327</v>
      </c>
      <c r="B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969474048</v>
      </c>
      <c r="C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969474048</v>
      </c>
      <c r="D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969474048</v>
      </c>
      <c r="E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969474048</v>
      </c>
      <c r="F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969474048</v>
      </c>
      <c r="G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969474048</v>
      </c>
      <c r="H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969474048</v>
      </c>
      <c r="I163" s="2"/>
    </row>
    <row r="164" customFormat="false" ht="17.15" hidden="false" customHeight="false" outlineLevel="0" collapsed="false">
      <c r="A164" s="30" t="s">
        <v>328</v>
      </c>
      <c r="B164" s="68" t="n">
        <f aca="false">MAX(B162/$I$20,B163/설정!$B$60)*1000</f>
        <v>19.0092950588235</v>
      </c>
      <c r="C164" s="68" t="n">
        <f aca="false">MAX(C162/$I$20,C163/설정!$B$60)*1000</f>
        <v>19.0092950588235</v>
      </c>
      <c r="D164" s="68" t="n">
        <f aca="false">MAX(D162/$I$20,D163/설정!$B$60)*1000</f>
        <v>19.0092950588235</v>
      </c>
      <c r="E164" s="68" t="n">
        <f aca="false">MAX(E162/$I$20,E163/설정!$B$60)*1000</f>
        <v>19.0092950588235</v>
      </c>
      <c r="F164" s="68" t="n">
        <f aca="false">MAX(F162/$I$20,F163/설정!$B$60)*1000</f>
        <v>19.0092950588235</v>
      </c>
      <c r="G164" s="68" t="n">
        <f aca="false">MAX(G162/$I$20,G163/설정!$B$60)*1000</f>
        <v>19.0092950588235</v>
      </c>
      <c r="H164" s="68" t="n">
        <f aca="false">MAX(H162/$I$20,H163/설정!$B$60)*1000</f>
        <v>19.0092950588235</v>
      </c>
      <c r="I164" s="2"/>
    </row>
    <row r="165" customFormat="false" ht="17.15" hidden="false" customHeight="false" outlineLevel="0" collapsed="false">
      <c r="A165" s="30" t="s">
        <v>329</v>
      </c>
      <c r="B165" s="67" t="n">
        <f aca="false">($D$21*모델!$B$37)*2*(1)*$B$21*$C$21</f>
        <v>0</v>
      </c>
      <c r="C165" s="67" t="n">
        <f aca="false">($D$21*모델!$B$37)*2*(1)*$B$21*$C$21</f>
        <v>0</v>
      </c>
      <c r="D165" s="67" t="n">
        <f aca="false">($D$21*모델!$B$37)*2*(1)*$B$21*$C$21</f>
        <v>0</v>
      </c>
      <c r="E165" s="67" t="n">
        <f aca="false">($D$21*모델!$B$37)*2*(1)*$B$21*$C$21</f>
        <v>0</v>
      </c>
      <c r="F165" s="67" t="n">
        <f aca="false">($D$21*모델!$B$37)*2*(1)*$B$21*$C$21</f>
        <v>0</v>
      </c>
      <c r="G165" s="67" t="n">
        <f aca="false">($D$21*모델!$B$37)*2*(1)*$B$21*$C$21</f>
        <v>0</v>
      </c>
      <c r="H165" s="67" t="n">
        <f aca="false">($D$21*모델!$B$37)*2*(1)*$B$21*$C$21</f>
        <v>0</v>
      </c>
      <c r="I165" s="2"/>
    </row>
    <row r="166" customFormat="false" ht="17.15" hidden="false" customHeight="false" outlineLevel="0" collapsed="false">
      <c r="A166" s="30" t="s">
        <v>330</v>
      </c>
      <c r="B166" s="67" t="n">
        <f aca="false">($D$21*모델!$B$37)*MIN(($B$21*$C$21*$H$21)*MAX(1,ROUNDUP(((1)*$B$21*설정!$B$57)/설정!$B$61,0))+((1)*$B$21*설정!$B$57)+((1)*$C$21*설정!$B$57),($B$21*$C$21*$H$21)+((1)*$B$21*설정!$B$57)*MAX(1,ROUNDUP(($B$21*$C$21*$H$21)/설정!$B$61,0))+((1)*$C$21*설정!$B$57))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C166" s="67" t="n">
        <f aca="false">($D$21*모델!$B$37)*MIN(($B$21*$C$21*$H$21)*MAX(1,ROUNDUP(((1)*$B$21*설정!$B$57)/설정!$B$61,0))+((1)*$B$21*설정!$B$57)+((1)*$C$21*설정!$B$57),($B$21*$C$21*$H$21)+((1)*$B$21*설정!$B$57)*MAX(1,ROUNDUP(($B$21*$C$21*$H$21)/설정!$B$61,0))+((1)*$C$21*설정!$B$57))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D166" s="67" t="n">
        <f aca="false">($D$21*모델!$B$37)*MIN(($B$21*$C$21*$H$21)*MAX(1,ROUNDUP(((1)*$B$21*설정!$B$57)/설정!$B$61,0))+((1)*$B$21*설정!$B$57)+((1)*$C$21*설정!$B$57),($B$21*$C$21*$H$21)+((1)*$B$21*설정!$B$57)*MAX(1,ROUNDUP(($B$21*$C$21*$H$21)/설정!$B$61,0))+((1)*$C$21*설정!$B$57))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E166" s="67" t="n">
        <f aca="false">($D$21*모델!$B$37)*MIN(($B$21*$C$21*$H$21)*MAX(1,ROUNDUP(((1)*$B$21*설정!$B$57)/설정!$B$61,0))+((1)*$B$21*설정!$B$57)+((1)*$C$21*설정!$B$57),($B$21*$C$21*$H$21)+((1)*$B$21*설정!$B$57)*MAX(1,ROUNDUP(($B$21*$C$21*$H$21)/설정!$B$61,0))+((1)*$C$21*설정!$B$57))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F166" s="67" t="n">
        <f aca="false">($D$21*모델!$B$37)*MIN(($B$21*$C$21*$H$21)*MAX(1,ROUNDUP(((1)*$B$21*설정!$B$57)/설정!$B$61,0))+((1)*$B$21*설정!$B$57)+((1)*$C$21*설정!$B$57),($B$21*$C$21*$H$21)+((1)*$B$21*설정!$B$57)*MAX(1,ROUNDUP(($B$21*$C$21*$H$21)/설정!$B$61,0))+((1)*$C$21*설정!$B$57))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G166" s="67" t="n">
        <f aca="false">($D$21*모델!$B$37)*MIN(($B$21*$C$21*$H$21)*MAX(1,ROUNDUP(((1)*$B$21*설정!$B$57)/설정!$B$61,0))+((1)*$B$21*설정!$B$57)+((1)*$C$21*설정!$B$57),($B$21*$C$21*$H$21)+((1)*$B$21*설정!$B$57)*MAX(1,ROUNDUP(($B$21*$C$21*$H$21)/설정!$B$61,0))+((1)*$C$21*설정!$B$57))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H166" s="67" t="n">
        <f aca="false">($D$21*모델!$B$37)*MIN(($B$21*$C$21*$H$21)*MAX(1,ROUNDUP(((1)*$B$21*설정!$B$57)/설정!$B$61,0))+((1)*$B$21*설정!$B$57)+((1)*$C$21*설정!$B$57),($B$21*$C$21*$H$21)+((1)*$B$21*설정!$B$57)*MAX(1,ROUNDUP(($B$21*$C$21*$H$21)/설정!$B$61,0))+((1)*$C$21*설정!$B$57))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I166" s="2"/>
    </row>
    <row r="167" customFormat="false" ht="17.15" hidden="false" customHeight="false" outlineLevel="0" collapsed="false">
      <c r="A167" s="30" t="s">
        <v>331</v>
      </c>
      <c r="B167" s="68" t="n">
        <f aca="false">MAX(B165/$I$21,B166/설정!$B$60)*1000</f>
        <v>0</v>
      </c>
      <c r="C167" s="68" t="n">
        <f aca="false">MAX(C165/$I$21,C166/설정!$B$60)*1000</f>
        <v>0</v>
      </c>
      <c r="D167" s="68" t="n">
        <f aca="false">MAX(D165/$I$21,D166/설정!$B$60)*1000</f>
        <v>0</v>
      </c>
      <c r="E167" s="68" t="n">
        <f aca="false">MAX(E165/$I$21,E166/설정!$B$60)*1000</f>
        <v>0</v>
      </c>
      <c r="F167" s="68" t="n">
        <f aca="false">MAX(F165/$I$21,F166/설정!$B$60)*1000</f>
        <v>0</v>
      </c>
      <c r="G167" s="68" t="n">
        <f aca="false">MAX(G165/$I$21,G166/설정!$B$60)*1000</f>
        <v>0</v>
      </c>
      <c r="H167" s="68" t="n">
        <f aca="false">MAX(H165/$I$21,H166/설정!$B$60)*1000</f>
        <v>0</v>
      </c>
      <c r="I167" s="2"/>
    </row>
    <row r="168" customFormat="false" ht="17.15" hidden="false" customHeight="false" outlineLevel="0" collapsed="false">
      <c r="A168" s="30" t="s">
        <v>332</v>
      </c>
      <c r="B168" s="67" t="n">
        <f aca="false">($D$22*모델!$B$37)*2*(1)*$B$22*$C$22</f>
        <v>0</v>
      </c>
      <c r="C168" s="67" t="n">
        <f aca="false">($D$22*모델!$B$37)*2*(1)*$B$22*$C$22</f>
        <v>0</v>
      </c>
      <c r="D168" s="67" t="n">
        <f aca="false">($D$22*모델!$B$37)*2*(1)*$B$22*$C$22</f>
        <v>0</v>
      </c>
      <c r="E168" s="67" t="n">
        <f aca="false">($D$22*모델!$B$37)*2*(1)*$B$22*$C$22</f>
        <v>0</v>
      </c>
      <c r="F168" s="67" t="n">
        <f aca="false">($D$22*모델!$B$37)*2*(1)*$B$22*$C$22</f>
        <v>0</v>
      </c>
      <c r="G168" s="67" t="n">
        <f aca="false">($D$22*모델!$B$37)*2*(1)*$B$22*$C$22</f>
        <v>0</v>
      </c>
      <c r="H168" s="67" t="n">
        <f aca="false">($D$22*모델!$B$37)*2*(1)*$B$22*$C$22</f>
        <v>0</v>
      </c>
      <c r="I168" s="2"/>
    </row>
    <row r="169" customFormat="false" ht="17.15" hidden="false" customHeight="false" outlineLevel="0" collapsed="false">
      <c r="A169" s="30" t="s">
        <v>333</v>
      </c>
      <c r="B169" s="67" t="n">
        <f aca="false">($D$22*모델!$B$37)*MIN(($B$22*$C$22*$H$22)*MAX(1,ROUNDUP(((1)*$B$22*설정!$B$57)/설정!$B$61,0))+((1)*$B$22*설정!$B$57)+((1)*$C$22*설정!$B$57),($B$22*$C$22*$H$22)+((1)*$B$22*설정!$B$57)*MAX(1,ROUNDUP(($B$22*$C$22*$H$22)/설정!$B$61,0))+((1)*$C$22*설정!$B$57))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C169" s="67" t="n">
        <f aca="false">($D$22*모델!$B$37)*MIN(($B$22*$C$22*$H$22)*MAX(1,ROUNDUP(((1)*$B$22*설정!$B$57)/설정!$B$61,0))+((1)*$B$22*설정!$B$57)+((1)*$C$22*설정!$B$57),($B$22*$C$22*$H$22)+((1)*$B$22*설정!$B$57)*MAX(1,ROUNDUP(($B$22*$C$22*$H$22)/설정!$B$61,0))+((1)*$C$22*설정!$B$57))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D169" s="67" t="n">
        <f aca="false">($D$22*모델!$B$37)*MIN(($B$22*$C$22*$H$22)*MAX(1,ROUNDUP(((1)*$B$22*설정!$B$57)/설정!$B$61,0))+((1)*$B$22*설정!$B$57)+((1)*$C$22*설정!$B$57),($B$22*$C$22*$H$22)+((1)*$B$22*설정!$B$57)*MAX(1,ROUNDUP(($B$22*$C$22*$H$22)/설정!$B$61,0))+((1)*$C$22*설정!$B$57))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E169" s="67" t="n">
        <f aca="false">($D$22*모델!$B$37)*MIN(($B$22*$C$22*$H$22)*MAX(1,ROUNDUP(((1)*$B$22*설정!$B$57)/설정!$B$61,0))+((1)*$B$22*설정!$B$57)+((1)*$C$22*설정!$B$57),($B$22*$C$22*$H$22)+((1)*$B$22*설정!$B$57)*MAX(1,ROUNDUP(($B$22*$C$22*$H$22)/설정!$B$61,0))+((1)*$C$22*설정!$B$57))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F169" s="67" t="n">
        <f aca="false">($D$22*모델!$B$37)*MIN(($B$22*$C$22*$H$22)*MAX(1,ROUNDUP(((1)*$B$22*설정!$B$57)/설정!$B$61,0))+((1)*$B$22*설정!$B$57)+((1)*$C$22*설정!$B$57),($B$22*$C$22*$H$22)+((1)*$B$22*설정!$B$57)*MAX(1,ROUNDUP(($B$22*$C$22*$H$22)/설정!$B$61,0))+((1)*$C$22*설정!$B$57))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G169" s="67" t="n">
        <f aca="false">($D$22*모델!$B$37)*MIN(($B$22*$C$22*$H$22)*MAX(1,ROUNDUP(((1)*$B$22*설정!$B$57)/설정!$B$61,0))+((1)*$B$22*설정!$B$57)+((1)*$C$22*설정!$B$57),($B$22*$C$22*$H$22)+((1)*$B$22*설정!$B$57)*MAX(1,ROUNDUP(($B$22*$C$22*$H$22)/설정!$B$61,0))+((1)*$C$22*설정!$B$57))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H169" s="67" t="n">
        <f aca="false">($D$22*모델!$B$37)*MIN(($B$22*$C$22*$H$22)*MAX(1,ROUNDUP(((1)*$B$22*설정!$B$57)/설정!$B$61,0))+((1)*$B$22*설정!$B$57)+((1)*$C$22*설정!$B$57),($B$22*$C$22*$H$22)+((1)*$B$22*설정!$B$57)*MAX(1,ROUNDUP(($B$22*$C$22*$H$22)/설정!$B$61,0))+((1)*$C$22*설정!$B$57))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I169" s="2"/>
    </row>
    <row r="170" customFormat="false" ht="17.15" hidden="false" customHeight="false" outlineLevel="0" collapsed="false">
      <c r="A170" s="30" t="s">
        <v>334</v>
      </c>
      <c r="B170" s="68" t="n">
        <f aca="false">MAX(B168/$I$22,B169/설정!$B$60)*1000</f>
        <v>0</v>
      </c>
      <c r="C170" s="68" t="n">
        <f aca="false">MAX(C168/$I$22,C169/설정!$B$60)*1000</f>
        <v>0</v>
      </c>
      <c r="D170" s="68" t="n">
        <f aca="false">MAX(D168/$I$22,D169/설정!$B$60)*1000</f>
        <v>0</v>
      </c>
      <c r="E170" s="68" t="n">
        <f aca="false">MAX(E168/$I$22,E169/설정!$B$60)*1000</f>
        <v>0</v>
      </c>
      <c r="F170" s="68" t="n">
        <f aca="false">MAX(F168/$I$22,F169/설정!$B$60)*1000</f>
        <v>0</v>
      </c>
      <c r="G170" s="68" t="n">
        <f aca="false">MAX(G168/$I$22,G169/설정!$B$60)*1000</f>
        <v>0</v>
      </c>
      <c r="H170" s="68" t="n">
        <f aca="false">MAX(H168/$I$22,H169/설정!$B$60)*1000</f>
        <v>0</v>
      </c>
      <c r="I170" s="2"/>
    </row>
    <row r="171" customFormat="false" ht="17.15" hidden="false" customHeight="false" outlineLevel="0" collapsed="false">
      <c r="A171" s="30" t="s">
        <v>335</v>
      </c>
      <c r="B171" s="67" t="n">
        <f aca="false">($D$23*모델!$B$37)*2*(1)*$B$23*$C$23</f>
        <v>0</v>
      </c>
      <c r="C171" s="67" t="n">
        <f aca="false">($D$23*모델!$B$37)*2*(1)*$B$23*$C$23</f>
        <v>0</v>
      </c>
      <c r="D171" s="67" t="n">
        <f aca="false">($D$23*모델!$B$37)*2*(1)*$B$23*$C$23</f>
        <v>0</v>
      </c>
      <c r="E171" s="67" t="n">
        <f aca="false">($D$23*모델!$B$37)*2*(1)*$B$23*$C$23</f>
        <v>0</v>
      </c>
      <c r="F171" s="67" t="n">
        <f aca="false">($D$23*모델!$B$37)*2*(1)*$B$23*$C$23</f>
        <v>0</v>
      </c>
      <c r="G171" s="67" t="n">
        <f aca="false">($D$23*모델!$B$37)*2*(1)*$B$23*$C$23</f>
        <v>0</v>
      </c>
      <c r="H171" s="67" t="n">
        <f aca="false">($D$23*모델!$B$37)*2*(1)*$B$23*$C$23</f>
        <v>0</v>
      </c>
      <c r="I171" s="2"/>
    </row>
    <row r="172" customFormat="false" ht="17.15" hidden="false" customHeight="false" outlineLevel="0" collapsed="false">
      <c r="A172" s="30" t="s">
        <v>336</v>
      </c>
      <c r="B172" s="67" t="n">
        <f aca="false">($D$23*모델!$B$37)*MIN(($B$23*$C$23*$H$23)*MAX(1,ROUNDUP(((1)*$B$23*설정!$B$57)/설정!$B$61,0))+((1)*$B$23*설정!$B$57)+((1)*$C$23*설정!$B$57),($B$23*$C$23*$H$23)+((1)*$B$23*설정!$B$57)*MAX(1,ROUNDUP(($B$23*$C$23*$H$23)/설정!$B$61,0))+((1)*$C$23*설정!$B$57))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C172" s="67" t="n">
        <f aca="false">($D$23*모델!$B$37)*MIN(($B$23*$C$23*$H$23)*MAX(1,ROUNDUP(((1)*$B$23*설정!$B$57)/설정!$B$61,0))+((1)*$B$23*설정!$B$57)+((1)*$C$23*설정!$B$57),($B$23*$C$23*$H$23)+((1)*$B$23*설정!$B$57)*MAX(1,ROUNDUP(($B$23*$C$23*$H$23)/설정!$B$61,0))+((1)*$C$23*설정!$B$57))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D172" s="67" t="n">
        <f aca="false">($D$23*모델!$B$37)*MIN(($B$23*$C$23*$H$23)*MAX(1,ROUNDUP(((1)*$B$23*설정!$B$57)/설정!$B$61,0))+((1)*$B$23*설정!$B$57)+((1)*$C$23*설정!$B$57),($B$23*$C$23*$H$23)+((1)*$B$23*설정!$B$57)*MAX(1,ROUNDUP(($B$23*$C$23*$H$23)/설정!$B$61,0))+((1)*$C$23*설정!$B$57))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E172" s="67" t="n">
        <f aca="false">($D$23*모델!$B$37)*MIN(($B$23*$C$23*$H$23)*MAX(1,ROUNDUP(((1)*$B$23*설정!$B$57)/설정!$B$61,0))+((1)*$B$23*설정!$B$57)+((1)*$C$23*설정!$B$57),($B$23*$C$23*$H$23)+((1)*$B$23*설정!$B$57)*MAX(1,ROUNDUP(($B$23*$C$23*$H$23)/설정!$B$61,0))+((1)*$C$23*설정!$B$57))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F172" s="67" t="n">
        <f aca="false">($D$23*모델!$B$37)*MIN(($B$23*$C$23*$H$23)*MAX(1,ROUNDUP(((1)*$B$23*설정!$B$57)/설정!$B$61,0))+((1)*$B$23*설정!$B$57)+((1)*$C$23*설정!$B$57),($B$23*$C$23*$H$23)+((1)*$B$23*설정!$B$57)*MAX(1,ROUNDUP(($B$23*$C$23*$H$23)/설정!$B$61,0))+((1)*$C$23*설정!$B$57))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G172" s="67" t="n">
        <f aca="false">($D$23*모델!$B$37)*MIN(($B$23*$C$23*$H$23)*MAX(1,ROUNDUP(((1)*$B$23*설정!$B$57)/설정!$B$61,0))+((1)*$B$23*설정!$B$57)+((1)*$C$23*설정!$B$57),($B$23*$C$23*$H$23)+((1)*$B$23*설정!$B$57)*MAX(1,ROUNDUP(($B$23*$C$23*$H$23)/설정!$B$61,0))+((1)*$C$23*설정!$B$57))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H172" s="67" t="n">
        <f aca="false">($D$23*모델!$B$37)*MIN(($B$23*$C$23*$H$23)*MAX(1,ROUNDUP(((1)*$B$23*설정!$B$57)/설정!$B$61,0))+((1)*$B$23*설정!$B$57)+((1)*$C$23*설정!$B$57),($B$23*$C$23*$H$23)+((1)*$B$23*설정!$B$57)*MAX(1,ROUNDUP(($B$23*$C$23*$H$23)/설정!$B$61,0))+((1)*$C$23*설정!$B$57))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I172" s="2"/>
    </row>
    <row r="173" customFormat="false" ht="17.15" hidden="false" customHeight="false" outlineLevel="0" collapsed="false">
      <c r="A173" s="30" t="s">
        <v>337</v>
      </c>
      <c r="B173" s="68" t="n">
        <f aca="false">MAX(B171/$I$23,B172/설정!$B$60)*1000</f>
        <v>0</v>
      </c>
      <c r="C173" s="68" t="n">
        <f aca="false">MAX(C171/$I$23,C172/설정!$B$60)*1000</f>
        <v>0</v>
      </c>
      <c r="D173" s="68" t="n">
        <f aca="false">MAX(D171/$I$23,D172/설정!$B$60)*1000</f>
        <v>0</v>
      </c>
      <c r="E173" s="68" t="n">
        <f aca="false">MAX(E171/$I$23,E172/설정!$B$60)*1000</f>
        <v>0</v>
      </c>
      <c r="F173" s="68" t="n">
        <f aca="false">MAX(F171/$I$23,F172/설정!$B$60)*1000</f>
        <v>0</v>
      </c>
      <c r="G173" s="68" t="n">
        <f aca="false">MAX(G171/$I$23,G172/설정!$B$60)*1000</f>
        <v>0</v>
      </c>
      <c r="H173" s="68" t="n">
        <f aca="false">MAX(H171/$I$23,H172/설정!$B$60)*1000</f>
        <v>0</v>
      </c>
      <c r="I173" s="2"/>
    </row>
    <row r="174" customFormat="false" ht="17.15" hidden="false" customHeight="false" outlineLevel="0" collapsed="false">
      <c r="A174" s="30" t="s">
        <v>338</v>
      </c>
      <c r="B174" s="67" t="n">
        <f aca="false">($D$24)*2*(1)*$B$24*$C$24</f>
        <v>1050673152</v>
      </c>
      <c r="C174" s="67" t="n">
        <f aca="false">($D$24)*2*(1)*$B$24*$C$24</f>
        <v>1050673152</v>
      </c>
      <c r="D174" s="67" t="n">
        <f aca="false">($D$24)*2*(1)*$B$24*$C$24</f>
        <v>1050673152</v>
      </c>
      <c r="E174" s="67" t="n">
        <f aca="false">($D$24)*2*(1)*$B$24*$C$24</f>
        <v>1050673152</v>
      </c>
      <c r="F174" s="67" t="n">
        <f aca="false">($D$24)*2*(1)*$B$24*$C$24</f>
        <v>1050673152</v>
      </c>
      <c r="G174" s="67" t="n">
        <f aca="false">($D$24)*2*(1)*$B$24*$C$24</f>
        <v>1050673152</v>
      </c>
      <c r="H174" s="67" t="n">
        <f aca="false">($D$24)*2*(1)*$B$24*$C$24</f>
        <v>1050673152</v>
      </c>
      <c r="I174" s="2"/>
    </row>
    <row r="175" customFormat="false" ht="17.15" hidden="false" customHeight="false" outlineLevel="0" collapsed="false">
      <c r="A175" s="30" t="s">
        <v>339</v>
      </c>
      <c r="B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C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D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E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F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G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H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271009024</v>
      </c>
      <c r="I175" s="2"/>
    </row>
    <row r="176" customFormat="false" ht="17.15" hidden="false" customHeight="false" outlineLevel="0" collapsed="false">
      <c r="A176" s="30" t="s">
        <v>340</v>
      </c>
      <c r="B176" s="68" t="n">
        <f aca="false">MAX(B174/$I$24,B175/설정!$B$60)*1000</f>
        <v>5.31390243137255</v>
      </c>
      <c r="C176" s="68" t="n">
        <f aca="false">MAX(C174/$I$24,C175/설정!$B$60)*1000</f>
        <v>5.31390243137255</v>
      </c>
      <c r="D176" s="68" t="n">
        <f aca="false">MAX(D174/$I$24,D175/설정!$B$60)*1000</f>
        <v>5.31390243137255</v>
      </c>
      <c r="E176" s="68" t="n">
        <f aca="false">MAX(E174/$I$24,E175/설정!$B$60)*1000</f>
        <v>5.31390243137255</v>
      </c>
      <c r="F176" s="68" t="n">
        <f aca="false">MAX(F174/$I$24,F175/설정!$B$60)*1000</f>
        <v>5.31390243137255</v>
      </c>
      <c r="G176" s="68" t="n">
        <f aca="false">MAX(G174/$I$24,G175/설정!$B$60)*1000</f>
        <v>5.31390243137255</v>
      </c>
      <c r="H176" s="68" t="n">
        <f aca="false">MAX(H174/$I$24,H175/설정!$B$60)*1000</f>
        <v>5.31390243137255</v>
      </c>
      <c r="I176" s="2"/>
    </row>
    <row r="177" customFormat="false" ht="17.15" hidden="false" customHeight="false" outlineLevel="0" collapsed="false">
      <c r="A177" s="30" t="s">
        <v>342</v>
      </c>
      <c r="B177" s="67" t="n">
        <f aca="false">모델!$B$12*4*모델!$B$13*모델!$B$15*B116</f>
        <v>134217728</v>
      </c>
      <c r="C177" s="67" t="n">
        <f aca="false">모델!$B$12*4*모델!$B$13*모델!$B$15*C116</f>
        <v>201326592</v>
      </c>
      <c r="D177" s="67" t="n">
        <f aca="false">모델!$B$12*4*모델!$B$13*모델!$B$15*D116</f>
        <v>335544320</v>
      </c>
      <c r="E177" s="67" t="n">
        <f aca="false">모델!$B$12*4*모델!$B$13*모델!$B$15*E116</f>
        <v>603979776</v>
      </c>
      <c r="F177" s="67" t="n">
        <f aca="false">모델!$B$12*4*모델!$B$13*모델!$B$15*F116</f>
        <v>1140850688</v>
      </c>
      <c r="G177" s="67" t="n">
        <f aca="false">모델!$B$12*4*모델!$B$13*모델!$B$15*G116</f>
        <v>2214592512</v>
      </c>
      <c r="H177" s="67" t="n">
        <f aca="false">모델!$B$12*4*모델!$B$13*모델!$B$15*H116</f>
        <v>4362076160</v>
      </c>
      <c r="I177" s="2"/>
    </row>
    <row r="178" customFormat="false" ht="17.15" hidden="false" customHeight="false" outlineLevel="0" collapsed="false">
      <c r="A178" s="30" t="s">
        <v>364</v>
      </c>
      <c r="B178" s="67" t="n">
        <f aca="false">모델!$B$12*(B116*2*모델!$B$14*모델!$B$15*설정!$B$58+2*모델!$B$13*모델!$B$15*설정!$B$57)</f>
        <v>17039360</v>
      </c>
      <c r="C178" s="67" t="n">
        <f aca="false">모델!$B$12*(C116*2*모델!$B$14*모델!$B$15*설정!$B$58+2*모델!$B$13*모델!$B$15*설정!$B$57)</f>
        <v>25427968</v>
      </c>
      <c r="D178" s="67" t="n">
        <f aca="false">모델!$B$12*(D116*2*모델!$B$14*모델!$B$15*설정!$B$58+2*모델!$B$13*모델!$B$15*설정!$B$57)</f>
        <v>42205184</v>
      </c>
      <c r="E178" s="67" t="n">
        <f aca="false">모델!$B$12*(E116*2*모델!$B$14*모델!$B$15*설정!$B$58+2*모델!$B$13*모델!$B$15*설정!$B$57)</f>
        <v>75759616</v>
      </c>
      <c r="F178" s="67" t="n">
        <f aca="false">모델!$B$12*(F116*2*모델!$B$14*모델!$B$15*설정!$B$58+2*모델!$B$13*모델!$B$15*설정!$B$57)</f>
        <v>142868480</v>
      </c>
      <c r="G178" s="67" t="n">
        <f aca="false">모델!$B$12*(G116*2*모델!$B$14*모델!$B$15*설정!$B$58+2*모델!$B$13*모델!$B$15*설정!$B$57)</f>
        <v>277086208</v>
      </c>
      <c r="H178" s="67" t="n">
        <f aca="false">모델!$B$12*(H116*2*모델!$B$14*모델!$B$15*설정!$B$58+2*모델!$B$13*모델!$B$15*설정!$B$57)</f>
        <v>545521664</v>
      </c>
      <c r="I178" s="2"/>
    </row>
    <row r="179" customFormat="false" ht="17.15" hidden="false" customHeight="false" outlineLevel="0" collapsed="false">
      <c r="A179" s="30" t="s">
        <v>344</v>
      </c>
      <c r="B179" s="68" t="n">
        <f aca="false">MAX(B177/설정!$B$68,B178/설정!$B$60)*1000</f>
        <v>0.334105098039216</v>
      </c>
      <c r="C179" s="68" t="n">
        <f aca="false">MAX(C177/설정!$B$68,C178/설정!$B$60)*1000</f>
        <v>0.498587607843137</v>
      </c>
      <c r="D179" s="68" t="n">
        <f aca="false">MAX(D177/설정!$B$68,D178/설정!$B$60)*1000</f>
        <v>0.82755262745098</v>
      </c>
      <c r="E179" s="68" t="n">
        <f aca="false">MAX(E177/설정!$B$68,E178/설정!$B$60)*1000</f>
        <v>1.48548266666667</v>
      </c>
      <c r="F179" s="68" t="n">
        <f aca="false">MAX(F177/설정!$B$68,F178/설정!$B$60)*1000</f>
        <v>2.80134274509804</v>
      </c>
      <c r="G179" s="68" t="n">
        <f aca="false">MAX(G177/설정!$B$68,G178/설정!$B$60)*1000</f>
        <v>5.43306290196079</v>
      </c>
      <c r="H179" s="68" t="n">
        <f aca="false">MAX(H177/설정!$B$68,H178/설정!$B$60)*1000</f>
        <v>10.6965032156863</v>
      </c>
      <c r="I179" s="2"/>
    </row>
    <row r="180" customFormat="false" ht="17.15" hidden="false" customHeight="false" outlineLevel="0" collapsed="false">
      <c r="A180" s="30" t="s">
        <v>365</v>
      </c>
      <c r="B180" s="69" t="n">
        <f aca="false">MIN(B116,모델!$B$20)</f>
        <v>0</v>
      </c>
      <c r="C180" s="69" t="n">
        <f aca="false">MIN(C116,모델!$B$20)</f>
        <v>0</v>
      </c>
      <c r="D180" s="69" t="n">
        <f aca="false">MIN(D116,모델!$B$20)</f>
        <v>0</v>
      </c>
      <c r="E180" s="69" t="n">
        <f aca="false">MIN(E116,모델!$B$20)</f>
        <v>0</v>
      </c>
      <c r="F180" s="69" t="n">
        <f aca="false">MIN(F116,모델!$B$20)</f>
        <v>0</v>
      </c>
      <c r="G180" s="69" t="n">
        <f aca="false">MIN(G116,모델!$B$20)</f>
        <v>0</v>
      </c>
      <c r="H180" s="69" t="n">
        <f aca="false">MIN(H116,모델!$B$20)</f>
        <v>0</v>
      </c>
      <c r="I180" s="2"/>
    </row>
    <row r="181" customFormat="false" ht="17.15" hidden="false" customHeight="false" outlineLevel="0" collapsed="false">
      <c r="A181" s="30" t="s">
        <v>346</v>
      </c>
      <c r="B181" s="67" t="n">
        <f aca="false">모델!$B$19*4*모델!$B$21*모델!$B$23*B180</f>
        <v>0</v>
      </c>
      <c r="C181" s="67" t="n">
        <f aca="false">모델!$B$19*4*모델!$B$21*모델!$B$23*C180</f>
        <v>0</v>
      </c>
      <c r="D181" s="67" t="n">
        <f aca="false">모델!$B$19*4*모델!$B$21*모델!$B$23*D180</f>
        <v>0</v>
      </c>
      <c r="E181" s="67" t="n">
        <f aca="false">모델!$B$19*4*모델!$B$21*모델!$B$23*E180</f>
        <v>0</v>
      </c>
      <c r="F181" s="67" t="n">
        <f aca="false">모델!$B$19*4*모델!$B$21*모델!$B$23*F180</f>
        <v>0</v>
      </c>
      <c r="G181" s="67" t="n">
        <f aca="false">모델!$B$19*4*모델!$B$21*모델!$B$23*G180</f>
        <v>0</v>
      </c>
      <c r="H181" s="67" t="n">
        <f aca="false">모델!$B$19*4*모델!$B$21*모델!$B$23*H180</f>
        <v>0</v>
      </c>
      <c r="I181" s="2"/>
    </row>
    <row r="182" customFormat="false" ht="17.15" hidden="false" customHeight="false" outlineLevel="0" collapsed="false">
      <c r="A182" s="30" t="s">
        <v>366</v>
      </c>
      <c r="B182" s="67" t="n">
        <f aca="false">모델!$B$19*(B180*2*모델!$B$22*모델!$B$23*설정!$B$58+2*모델!$B$21*모델!$B$23*설정!$B$57)</f>
        <v>0</v>
      </c>
      <c r="C182" s="67" t="n">
        <f aca="false">모델!$B$19*(C180*2*모델!$B$22*모델!$B$23*설정!$B$58+2*모델!$B$21*모델!$B$23*설정!$B$57)</f>
        <v>0</v>
      </c>
      <c r="D182" s="67" t="n">
        <f aca="false">모델!$B$19*(D180*2*모델!$B$22*모델!$B$23*설정!$B$58+2*모델!$B$21*모델!$B$23*설정!$B$57)</f>
        <v>0</v>
      </c>
      <c r="E182" s="67" t="n">
        <f aca="false">모델!$B$19*(E180*2*모델!$B$22*모델!$B$23*설정!$B$58+2*모델!$B$21*모델!$B$23*설정!$B$57)</f>
        <v>0</v>
      </c>
      <c r="F182" s="67" t="n">
        <f aca="false">모델!$B$19*(F180*2*모델!$B$22*모델!$B$23*설정!$B$58+2*모델!$B$21*모델!$B$23*설정!$B$57)</f>
        <v>0</v>
      </c>
      <c r="G182" s="67" t="n">
        <f aca="false">모델!$B$19*(G180*2*모델!$B$22*모델!$B$23*설정!$B$58+2*모델!$B$21*모델!$B$23*설정!$B$57)</f>
        <v>0</v>
      </c>
      <c r="H182" s="67" t="n">
        <f aca="false">모델!$B$19*(H180*2*모델!$B$22*모델!$B$23*설정!$B$58+2*모델!$B$21*모델!$B$23*설정!$B$57)</f>
        <v>0</v>
      </c>
      <c r="I182" s="2"/>
    </row>
    <row r="183" customFormat="false" ht="17.15" hidden="false" customHeight="false" outlineLevel="0" collapsed="false">
      <c r="A183" s="30" t="s">
        <v>348</v>
      </c>
      <c r="B183" s="68" t="n">
        <f aca="false">MAX(B181/설정!$B$68,B182/설정!$B$60)*1000</f>
        <v>0</v>
      </c>
      <c r="C183" s="68" t="n">
        <f aca="false">MAX(C181/설정!$B$68,C182/설정!$B$60)*1000</f>
        <v>0</v>
      </c>
      <c r="D183" s="68" t="n">
        <f aca="false">MAX(D181/설정!$B$68,D182/설정!$B$60)*1000</f>
        <v>0</v>
      </c>
      <c r="E183" s="68" t="n">
        <f aca="false">MAX(E181/설정!$B$68,E182/설정!$B$60)*1000</f>
        <v>0</v>
      </c>
      <c r="F183" s="68" t="n">
        <f aca="false">MAX(F181/설정!$B$68,F182/설정!$B$60)*1000</f>
        <v>0</v>
      </c>
      <c r="G183" s="68" t="n">
        <f aca="false">MAX(G181/설정!$B$68,G182/설정!$B$60)*1000</f>
        <v>0</v>
      </c>
      <c r="H183" s="68" t="n">
        <f aca="false">MAX(H181/설정!$B$68,H182/설정!$B$60)*1000</f>
        <v>0</v>
      </c>
      <c r="I183" s="2"/>
    </row>
    <row r="184" customFormat="false" ht="17.15" hidden="false" customHeight="false" outlineLevel="0" collapsed="false">
      <c r="A184" s="30" t="s">
        <v>367</v>
      </c>
      <c r="B184" s="67" t="n">
        <f aca="false">모델!$B$26*(모델!$B$29*7*모델!$B$28*모델!$B$30+2*모델!$B$31*모델!$B$52)</f>
        <v>0</v>
      </c>
      <c r="C184" s="67" t="n">
        <f aca="false">모델!$B$26*(모델!$B$29*7*모델!$B$28*모델!$B$30+2*모델!$B$31*모델!$B$52)</f>
        <v>0</v>
      </c>
      <c r="D184" s="67" t="n">
        <f aca="false">모델!$B$26*(모델!$B$29*7*모델!$B$28*모델!$B$30+2*모델!$B$31*모델!$B$52)</f>
        <v>0</v>
      </c>
      <c r="E184" s="67" t="n">
        <f aca="false">모델!$B$26*(모델!$B$29*7*모델!$B$28*모델!$B$30+2*모델!$B$31*모델!$B$52)</f>
        <v>0</v>
      </c>
      <c r="F184" s="67" t="n">
        <f aca="false">모델!$B$26*(모델!$B$29*7*모델!$B$28*모델!$B$30+2*모델!$B$31*모델!$B$52)</f>
        <v>0</v>
      </c>
      <c r="G184" s="67" t="n">
        <f aca="false">모델!$B$26*(모델!$B$29*7*모델!$B$28*모델!$B$30+2*모델!$B$31*모델!$B$52)</f>
        <v>0</v>
      </c>
      <c r="H184" s="67" t="n">
        <f aca="false">모델!$B$26*(모델!$B$29*7*모델!$B$28*모델!$B$30+2*모델!$B$31*모델!$B$52)</f>
        <v>0</v>
      </c>
      <c r="I184" s="2"/>
    </row>
    <row r="185" customFormat="false" ht="17.15" hidden="false" customHeight="false" outlineLevel="0" collapsed="false">
      <c r="A185" s="30" t="s">
        <v>368</v>
      </c>
      <c r="B185" s="67" t="n">
        <f aca="false">모델!$B$26*(2*모델!$B$29*모델!$B$28*모델!$B$30*설정!$B$59+2*MAX(0,모델!$B$31-1)*모델!$B$52*설정!$B$57+(모델!$B$52+2*모델!$B$29+모델!$B$29*모델!$B$30)*설정!$B$57)</f>
        <v>0</v>
      </c>
      <c r="C185" s="67" t="n">
        <f aca="false">모델!$B$26*(2*모델!$B$29*모델!$B$28*모델!$B$30*설정!$B$59+2*MAX(0,모델!$B$31-1)*모델!$B$52*설정!$B$57+(모델!$B$52+2*모델!$B$29+모델!$B$29*모델!$B$30)*설정!$B$57)</f>
        <v>0</v>
      </c>
      <c r="D185" s="67" t="n">
        <f aca="false">모델!$B$26*(2*모델!$B$29*모델!$B$28*모델!$B$30*설정!$B$59+2*MAX(0,모델!$B$31-1)*모델!$B$52*설정!$B$57+(모델!$B$52+2*모델!$B$29+모델!$B$29*모델!$B$30)*설정!$B$57)</f>
        <v>0</v>
      </c>
      <c r="E185" s="67" t="n">
        <f aca="false">모델!$B$26*(2*모델!$B$29*모델!$B$28*모델!$B$30*설정!$B$59+2*MAX(0,모델!$B$31-1)*모델!$B$52*설정!$B$57+(모델!$B$52+2*모델!$B$29+모델!$B$29*모델!$B$30)*설정!$B$57)</f>
        <v>0</v>
      </c>
      <c r="F185" s="67" t="n">
        <f aca="false">모델!$B$26*(2*모델!$B$29*모델!$B$28*모델!$B$30*설정!$B$59+2*MAX(0,모델!$B$31-1)*모델!$B$52*설정!$B$57+(모델!$B$52+2*모델!$B$29+모델!$B$29*모델!$B$30)*설정!$B$57)</f>
        <v>0</v>
      </c>
      <c r="G185" s="67" t="n">
        <f aca="false">모델!$B$26*(2*모델!$B$29*모델!$B$28*모델!$B$30*설정!$B$59+2*MAX(0,모델!$B$31-1)*모델!$B$52*설정!$B$57+(모델!$B$52+2*모델!$B$29+모델!$B$29*모델!$B$30)*설정!$B$57)</f>
        <v>0</v>
      </c>
      <c r="H185" s="67" t="n">
        <f aca="false">모델!$B$26*(2*모델!$B$29*모델!$B$28*모델!$B$30*설정!$B$59+2*MAX(0,모델!$B$31-1)*모델!$B$52*설정!$B$57+(모델!$B$52+2*모델!$B$29+모델!$B$29*모델!$B$30)*설정!$B$57)</f>
        <v>0</v>
      </c>
      <c r="I185" s="2"/>
    </row>
    <row r="186" customFormat="false" ht="17.15" hidden="false" customHeight="false" outlineLevel="0" collapsed="false">
      <c r="A186" s="30" t="s">
        <v>369</v>
      </c>
      <c r="B186" s="68" t="n">
        <f aca="false">MAX(B184/설정!$B$69,B185/설정!$B$60)*1000</f>
        <v>0</v>
      </c>
      <c r="C186" s="68" t="n">
        <f aca="false">MAX(C184/설정!$B$69,C185/설정!$B$60)*1000</f>
        <v>0</v>
      </c>
      <c r="D186" s="68" t="n">
        <f aca="false">MAX(D184/설정!$B$69,D185/설정!$B$60)*1000</f>
        <v>0</v>
      </c>
      <c r="E186" s="68" t="n">
        <f aca="false">MAX(E184/설정!$B$69,E185/설정!$B$60)*1000</f>
        <v>0</v>
      </c>
      <c r="F186" s="68" t="n">
        <f aca="false">MAX(F184/설정!$B$69,F185/설정!$B$60)*1000</f>
        <v>0</v>
      </c>
      <c r="G186" s="68" t="n">
        <f aca="false">MAX(G184/설정!$B$69,G185/설정!$B$60)*1000</f>
        <v>0</v>
      </c>
      <c r="H186" s="68" t="n">
        <f aca="false">MAX(H184/설정!$B$69,H185/설정!$B$60)*1000</f>
        <v>0</v>
      </c>
      <c r="I186" s="2"/>
    </row>
    <row r="187" customFormat="false" ht="17.15" hidden="false" customHeight="false" outlineLevel="0" collapsed="false">
      <c r="A187" s="30" t="s">
        <v>370</v>
      </c>
      <c r="B187" s="68" t="n">
        <f aca="false">모델!$B$49*IF(설정!$B$40="CPU",설정!$B$41/1000+((1)*모델!$B$36*설정!$B$43/8+(1)*모델!$B$37*설정!$B$44)/(설정!$B$42*1000000000)*1000+(1)*모델!$B$36*설정!$B$45/1000000,설정!$B$46/1000)</f>
        <v>0</v>
      </c>
      <c r="C187" s="68" t="n">
        <f aca="false">모델!$B$49*IF(설정!$B$40="CPU",설정!$B$41/1000+((1)*모델!$B$36*설정!$B$43/8+(1)*모델!$B$37*설정!$B$44)/(설정!$B$42*1000000000)*1000+(1)*모델!$B$36*설정!$B$45/1000000,설정!$B$46/1000)</f>
        <v>0</v>
      </c>
      <c r="D187" s="68" t="n">
        <f aca="false">모델!$B$49*IF(설정!$B$40="CPU",설정!$B$41/1000+((1)*모델!$B$36*설정!$B$43/8+(1)*모델!$B$37*설정!$B$44)/(설정!$B$42*1000000000)*1000+(1)*모델!$B$36*설정!$B$45/1000000,설정!$B$46/1000)</f>
        <v>0</v>
      </c>
      <c r="E187" s="68" t="n">
        <f aca="false">모델!$B$49*IF(설정!$B$40="CPU",설정!$B$41/1000+((1)*모델!$B$36*설정!$B$43/8+(1)*모델!$B$37*설정!$B$44)/(설정!$B$42*1000000000)*1000+(1)*모델!$B$36*설정!$B$45/1000000,설정!$B$46/1000)</f>
        <v>0</v>
      </c>
      <c r="F187" s="68" t="n">
        <f aca="false">모델!$B$49*IF(설정!$B$40="CPU",설정!$B$41/1000+((1)*모델!$B$36*설정!$B$43/8+(1)*모델!$B$37*설정!$B$44)/(설정!$B$42*1000000000)*1000+(1)*모델!$B$36*설정!$B$45/1000000,설정!$B$46/1000)</f>
        <v>0</v>
      </c>
      <c r="G187" s="68" t="n">
        <f aca="false">모델!$B$49*IF(설정!$B$40="CPU",설정!$B$41/1000+((1)*모델!$B$36*설정!$B$43/8+(1)*모델!$B$37*설정!$B$44)/(설정!$B$42*1000000000)*1000+(1)*모델!$B$36*설정!$B$45/1000000,설정!$B$46/1000)</f>
        <v>0</v>
      </c>
      <c r="H187" s="68" t="n">
        <f aca="false">모델!$B$49*IF(설정!$B$40="CPU",설정!$B$41/1000+((1)*모델!$B$36*설정!$B$43/8+(1)*모델!$B$37*설정!$B$44)/(설정!$B$42*1000000000)*1000+(1)*모델!$B$36*설정!$B$45/1000000,설정!$B$46/1000)</f>
        <v>0</v>
      </c>
      <c r="I187" s="2"/>
    </row>
    <row r="188" customFormat="false" ht="17.15" hidden="false" customHeight="false" outlineLevel="0" collapsed="false">
      <c r="A188" s="33" t="s">
        <v>354</v>
      </c>
      <c r="B188" s="64" t="n">
        <f aca="false">B119+B122+B125+B128+B131+B134+B137+B140+B143+B146+B149+B152+B155+B158+B161+B164+B167+B170+B173+B176</f>
        <v>75.9282999215686</v>
      </c>
      <c r="C188" s="64" t="n">
        <f aca="false">C119+C122+C125+C128+C131+C134+C137+C140+C143+C146+C149+C152+C155+C158+C161+C164+C167+C170+C173+C176</f>
        <v>75.9282999215686</v>
      </c>
      <c r="D188" s="64" t="n">
        <f aca="false">D119+D122+D125+D128+D131+D134+D137+D140+D143+D146+D149+D152+D155+D158+D161+D164+D167+D170+D173+D176</f>
        <v>75.9282999215686</v>
      </c>
      <c r="E188" s="64" t="n">
        <f aca="false">E119+E122+E125+E128+E131+E134+E137+E140+E143+E146+E149+E152+E155+E158+E161+E164+E167+E170+E173+E176</f>
        <v>75.9282999215686</v>
      </c>
      <c r="F188" s="64" t="n">
        <f aca="false">F119+F122+F125+F128+F131+F134+F137+F140+F143+F146+F149+F152+F155+F158+F161+F164+F167+F170+F173+F176</f>
        <v>75.9282999215686</v>
      </c>
      <c r="G188" s="64" t="n">
        <f aca="false">G119+G122+G125+G128+G131+G134+G137+G140+G143+G146+G149+G152+G155+G158+G161+G164+G167+G170+G173+G176</f>
        <v>75.9282999215686</v>
      </c>
      <c r="H188" s="64" t="n">
        <f aca="false">H119+H122+H125+H128+H131+H134+H137+H140+H143+H146+H149+H152+H155+H158+H161+H164+H167+H170+H173+H176</f>
        <v>75.9282999215686</v>
      </c>
      <c r="I188" s="2"/>
    </row>
    <row r="189" customFormat="false" ht="17.15" hidden="false" customHeight="false" outlineLevel="0" collapsed="false">
      <c r="A189" s="33" t="s">
        <v>371</v>
      </c>
      <c r="B189" s="64" t="n">
        <f aca="false">B179+B183+B186</f>
        <v>0.334105098039216</v>
      </c>
      <c r="C189" s="64" t="n">
        <f aca="false">C179+C183+C186</f>
        <v>0.498587607843137</v>
      </c>
      <c r="D189" s="64" t="n">
        <f aca="false">D179+D183+D186</f>
        <v>0.82755262745098</v>
      </c>
      <c r="E189" s="64" t="n">
        <f aca="false">E179+E183+E186</f>
        <v>1.48548266666667</v>
      </c>
      <c r="F189" s="64" t="n">
        <f aca="false">F179+F183+F186</f>
        <v>2.80134274509804</v>
      </c>
      <c r="G189" s="64" t="n">
        <f aca="false">G179+G183+G186</f>
        <v>5.43306290196079</v>
      </c>
      <c r="H189" s="64" t="n">
        <f aca="false">H179+H183+H186</f>
        <v>10.6965032156863</v>
      </c>
      <c r="I189" s="2"/>
    </row>
    <row r="190" customFormat="false" ht="17.15" hidden="false" customHeight="false" outlineLevel="0" collapsed="false">
      <c r="A190" s="33" t="s">
        <v>372</v>
      </c>
      <c r="B190" s="68" t="n">
        <f aca="false">(B118+B121+B124+B127+B130+B133+B136+B139+B142+B145+B148+B151+B154+B157+B160+B163+B166+B169+B172+B175+B178+B182+B185)/1000000000</f>
        <v>3.889382656</v>
      </c>
      <c r="C190" s="68" t="n">
        <f aca="false">(C118+C121+C124+C127+C130+C133+C136+C139+C142+C145+C148+C151+C154+C157+C160+C163+C166+C169+C172+C175+C178+C182+C185)/1000000000</f>
        <v>3.897771264</v>
      </c>
      <c r="D190" s="68" t="n">
        <f aca="false">(D118+D121+D124+D127+D130+D133+D136+D139+D142+D145+D148+D151+D154+D157+D160+D163+D166+D169+D172+D175+D178+D182+D185)/1000000000</f>
        <v>3.91454848</v>
      </c>
      <c r="E190" s="68" t="n">
        <f aca="false">(E118+E121+E124+E127+E130+E133+E136+E139+E142+E145+E148+E151+E154+E157+E160+E163+E166+E169+E172+E175+E178+E182+E185)/1000000000</f>
        <v>3.948102912</v>
      </c>
      <c r="F190" s="68" t="n">
        <f aca="false">(F118+F121+F124+F127+F130+F133+F136+F139+F142+F145+F148+F151+F154+F157+F160+F163+F166+F169+F172+F175+F178+F182+F185)/1000000000</f>
        <v>4.015211776</v>
      </c>
      <c r="G190" s="68" t="n">
        <f aca="false">(G118+G121+G124+G127+G130+G133+G136+G139+G142+G145+G148+G151+G154+G157+G160+G163+G166+G169+G172+G175+G178+G182+G185)/1000000000</f>
        <v>4.149429504</v>
      </c>
      <c r="H190" s="68" t="n">
        <f aca="false">(H118+H121+H124+H127+H130+H133+H136+H139+H142+H145+H148+H151+H154+H157+H160+H163+H166+H169+H172+H175+H178+H182+H185)/1000000000</f>
        <v>4.41786496</v>
      </c>
      <c r="I190" s="2"/>
    </row>
    <row r="191" customFormat="false" ht="17.15" hidden="false" customHeight="false" outlineLevel="0" collapsed="false">
      <c r="A191" s="7" t="s">
        <v>373</v>
      </c>
      <c r="B191" s="74" t="n">
        <f aca="false">(B188+B189)*(1+설정!$B$14)+B187+설정!$B$16</f>
        <v>83.8886455215686</v>
      </c>
      <c r="C191" s="74" t="n">
        <f aca="false">(C188+C189)*(1+설정!$B$14)+C187+설정!$B$16</f>
        <v>84.0695762823529</v>
      </c>
      <c r="D191" s="74" t="n">
        <f aca="false">(D188+D189)*(1+설정!$B$14)+D187+설정!$B$16</f>
        <v>84.4314378039216</v>
      </c>
      <c r="E191" s="74" t="n">
        <f aca="false">(E188+E189)*(1+설정!$B$14)+E187+설정!$B$16</f>
        <v>85.1551608470588</v>
      </c>
      <c r="F191" s="74" t="n">
        <f aca="false">(F188+F189)*(1+설정!$B$14)+F187+설정!$B$16</f>
        <v>86.6026069333333</v>
      </c>
      <c r="G191" s="74" t="n">
        <f aca="false">(G188+G189)*(1+설정!$B$14)+G187+설정!$B$16</f>
        <v>89.4974991058824</v>
      </c>
      <c r="H191" s="74" t="n">
        <f aca="false">(H188+H189)*(1+설정!$B$14)+H187+설정!$B$16</f>
        <v>95.2872834509804</v>
      </c>
      <c r="I191" s="2"/>
    </row>
    <row r="192" customFormat="false" ht="15" hidden="false" customHeight="false" outlineLevel="0" collapsed="false">
      <c r="A192" s="16" t="s">
        <v>15</v>
      </c>
      <c r="B192" s="71" t="n">
        <f aca="false">1000/B191</f>
        <v>11.9205643836852</v>
      </c>
      <c r="C192" s="71" t="n">
        <f aca="false">1000/C191</f>
        <v>11.894909481183</v>
      </c>
      <c r="D192" s="71" t="n">
        <f aca="false">1000/D191</f>
        <v>11.843929536322</v>
      </c>
      <c r="E192" s="71" t="n">
        <f aca="false">1000/E191</f>
        <v>11.7432694630925</v>
      </c>
      <c r="F192" s="71" t="n">
        <f aca="false">1000/F191</f>
        <v>11.5469965098141</v>
      </c>
      <c r="G192" s="71" t="n">
        <f aca="false">1000/G191</f>
        <v>11.1734965780097</v>
      </c>
      <c r="H192" s="71" t="n">
        <f aca="false">1000/H191</f>
        <v>10.4945797989345</v>
      </c>
      <c r="I192" s="2"/>
    </row>
    <row r="193" customFormat="false" ht="17.15" hidden="false" customHeight="false" outlineLevel="0" collapsed="false">
      <c r="A193" s="33" t="s">
        <v>374</v>
      </c>
      <c r="B193" s="72" t="n">
        <f aca="false">B187/B191</f>
        <v>0</v>
      </c>
      <c r="C193" s="72" t="n">
        <f aca="false">C187/C191</f>
        <v>0</v>
      </c>
      <c r="D193" s="72" t="n">
        <f aca="false">D187/D191</f>
        <v>0</v>
      </c>
      <c r="E193" s="72" t="n">
        <f aca="false">E187/E191</f>
        <v>0</v>
      </c>
      <c r="F193" s="72" t="n">
        <f aca="false">F187/F191</f>
        <v>0</v>
      </c>
      <c r="G193" s="72" t="n">
        <f aca="false">G187/G191</f>
        <v>0</v>
      </c>
      <c r="H193" s="72" t="n">
        <f aca="false">H187/H191</f>
        <v>0</v>
      </c>
      <c r="I193" s="2"/>
    </row>
    <row r="194" customFormat="false" ht="17.15" hidden="false" customHeight="false" outlineLevel="0" collapsed="false">
      <c r="A194" s="33" t="s">
        <v>375</v>
      </c>
      <c r="B194" s="72" t="n">
        <f aca="false">B186*(1+설정!$B$14)/B191</f>
        <v>0</v>
      </c>
      <c r="C194" s="72" t="n">
        <f aca="false">C186*(1+설정!$B$14)/C191</f>
        <v>0</v>
      </c>
      <c r="D194" s="72" t="n">
        <f aca="false">D186*(1+설정!$B$14)/D191</f>
        <v>0</v>
      </c>
      <c r="E194" s="72" t="n">
        <f aca="false">E186*(1+설정!$B$14)/E191</f>
        <v>0</v>
      </c>
      <c r="F194" s="72" t="n">
        <f aca="false">F186*(1+설정!$B$14)/F191</f>
        <v>0</v>
      </c>
      <c r="G194" s="72" t="n">
        <f aca="false">G186*(1+설정!$B$14)/G191</f>
        <v>0</v>
      </c>
      <c r="H194" s="72" t="n">
        <f aca="false">H186*(1+설정!$B$14)/H191</f>
        <v>0</v>
      </c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7.15" hidden="false" customHeight="false" outlineLevel="0" collapsed="false">
      <c r="A196" s="28" t="s">
        <v>376</v>
      </c>
      <c r="B196" s="29"/>
      <c r="C196" s="29"/>
      <c r="D196" s="29"/>
      <c r="E196" s="29"/>
      <c r="F196" s="29"/>
      <c r="G196" s="29"/>
      <c r="H196" s="29"/>
      <c r="I196" s="29"/>
    </row>
    <row r="197" customFormat="false" ht="15" hidden="false" customHeight="false" outlineLevel="0" collapsed="false">
      <c r="A197" s="7" t="s">
        <v>377</v>
      </c>
      <c r="B197" s="73" t="n">
        <f aca="false">설정!$B$54+설정!$B$51/2</f>
        <v>256</v>
      </c>
      <c r="C197" s="73" t="n">
        <f aca="false">설정!$C$54+설정!$B$51/2</f>
        <v>384</v>
      </c>
      <c r="D197" s="73" t="n">
        <f aca="false">설정!$D$54+설정!$B$51/2</f>
        <v>640</v>
      </c>
      <c r="E197" s="73" t="n">
        <f aca="false">설정!$E$54+설정!$B$51/2</f>
        <v>1152</v>
      </c>
      <c r="F197" s="73" t="n">
        <f aca="false">설정!$F$54+설정!$B$51/2</f>
        <v>2176</v>
      </c>
      <c r="G197" s="73" t="n">
        <f aca="false">설정!$G$54+설정!$B$51/2</f>
        <v>4224</v>
      </c>
      <c r="H197" s="73" t="n">
        <f aca="false">설정!$H$54+설정!$B$51/2</f>
        <v>8320</v>
      </c>
      <c r="I197" s="2"/>
    </row>
    <row r="198" customFormat="false" ht="17.15" hidden="false" customHeight="false" outlineLevel="0" collapsed="false">
      <c r="A198" s="30" t="s">
        <v>378</v>
      </c>
      <c r="B198" s="68" t="n">
        <f aca="false">MAX(모델!$B$12*4*모델!$B$13*모델!$B$15*B197/설정!$B$68,모델!$B$12*(B197*2*모델!$B$14*모델!$B$15*설정!$B$58+2*모델!$B$13*모델!$B$15*설정!$B$57)/설정!$B$60)*1000</f>
        <v>0.334105098039216</v>
      </c>
      <c r="C198" s="68" t="n">
        <f aca="false">MAX(모델!$B$12*4*모델!$B$13*모델!$B$15*C197/설정!$B$68,모델!$B$12*(C197*2*모델!$B$14*모델!$B$15*설정!$B$58+2*모델!$B$13*모델!$B$15*설정!$B$57)/설정!$B$60)*1000</f>
        <v>0.498587607843137</v>
      </c>
      <c r="D198" s="68" t="n">
        <f aca="false">MAX(모델!$B$12*4*모델!$B$13*모델!$B$15*D197/설정!$B$68,모델!$B$12*(D197*2*모델!$B$14*모델!$B$15*설정!$B$58+2*모델!$B$13*모델!$B$15*설정!$B$57)/설정!$B$60)*1000</f>
        <v>0.82755262745098</v>
      </c>
      <c r="E198" s="68" t="n">
        <f aca="false">MAX(모델!$B$12*4*모델!$B$13*모델!$B$15*E197/설정!$B$68,모델!$B$12*(E197*2*모델!$B$14*모델!$B$15*설정!$B$58+2*모델!$B$13*모델!$B$15*설정!$B$57)/설정!$B$60)*1000</f>
        <v>1.48548266666667</v>
      </c>
      <c r="F198" s="68" t="n">
        <f aca="false">MAX(모델!$B$12*4*모델!$B$13*모델!$B$15*F197/설정!$B$68,모델!$B$12*(F197*2*모델!$B$14*모델!$B$15*설정!$B$58+2*모델!$B$13*모델!$B$15*설정!$B$57)/설정!$B$60)*1000</f>
        <v>2.80134274509804</v>
      </c>
      <c r="G198" s="68" t="n">
        <f aca="false">MAX(모델!$B$12*4*모델!$B$13*모델!$B$15*G197/설정!$B$68,모델!$B$12*(G197*2*모델!$B$14*모델!$B$15*설정!$B$58+2*모델!$B$13*모델!$B$15*설정!$B$57)/설정!$B$60)*1000</f>
        <v>5.43306290196079</v>
      </c>
      <c r="H198" s="68" t="n">
        <f aca="false">MAX(모델!$B$12*4*모델!$B$13*모델!$B$15*H197/설정!$B$68,모델!$B$12*(H197*2*모델!$B$14*모델!$B$15*설정!$B$58+2*모델!$B$13*모델!$B$15*설정!$B$57)/설정!$B$60)*1000</f>
        <v>10.6965032156863</v>
      </c>
      <c r="I198" s="2"/>
    </row>
    <row r="199" customFormat="false" ht="17.15" hidden="false" customHeight="false" outlineLevel="0" collapsed="false">
      <c r="A199" s="30" t="s">
        <v>379</v>
      </c>
      <c r="B199" s="68" t="n">
        <f aca="false">MAX(모델!$B$19*4*모델!$B$21*모델!$B$23*MIN(B197,모델!$B$20)/설정!$B$68,모델!$B$19*(MIN(B197,모델!$B$20)*2*모델!$B$22*모델!$B$23*설정!$B$58+2*모델!$B$21*모델!$B$23*설정!$B$57)/설정!$B$60)*1000</f>
        <v>0</v>
      </c>
      <c r="C199" s="68" t="n">
        <f aca="false">MAX(모델!$B$19*4*모델!$B$21*모델!$B$23*MIN(C197,모델!$B$20)/설정!$B$68,모델!$B$19*(MIN(C197,모델!$B$20)*2*모델!$B$22*모델!$B$23*설정!$B$58+2*모델!$B$21*모델!$B$23*설정!$B$57)/설정!$B$60)*1000</f>
        <v>0</v>
      </c>
      <c r="D199" s="68" t="n">
        <f aca="false">MAX(모델!$B$19*4*모델!$B$21*모델!$B$23*MIN(D197,모델!$B$20)/설정!$B$68,모델!$B$19*(MIN(D197,모델!$B$20)*2*모델!$B$22*모델!$B$23*설정!$B$58+2*모델!$B$21*모델!$B$23*설정!$B$57)/설정!$B$60)*1000</f>
        <v>0</v>
      </c>
      <c r="E199" s="68" t="n">
        <f aca="false">MAX(모델!$B$19*4*모델!$B$21*모델!$B$23*MIN(E197,모델!$B$20)/설정!$B$68,모델!$B$19*(MIN(E197,모델!$B$20)*2*모델!$B$22*모델!$B$23*설정!$B$58+2*모델!$B$21*모델!$B$23*설정!$B$57)/설정!$B$60)*1000</f>
        <v>0</v>
      </c>
      <c r="F199" s="68" t="n">
        <f aca="false">MAX(모델!$B$19*4*모델!$B$21*모델!$B$23*MIN(F197,모델!$B$20)/설정!$B$68,모델!$B$19*(MIN(F197,모델!$B$20)*2*모델!$B$22*모델!$B$23*설정!$B$58+2*모델!$B$21*모델!$B$23*설정!$B$57)/설정!$B$60)*1000</f>
        <v>0</v>
      </c>
      <c r="G199" s="68" t="n">
        <f aca="false">MAX(모델!$B$19*4*모델!$B$21*모델!$B$23*MIN(G197,모델!$B$20)/설정!$B$68,모델!$B$19*(MIN(G197,모델!$B$20)*2*모델!$B$22*모델!$B$23*설정!$B$58+2*모델!$B$21*모델!$B$23*설정!$B$57)/설정!$B$60)*1000</f>
        <v>0</v>
      </c>
      <c r="H199" s="68" t="n">
        <f aca="false">MAX(모델!$B$19*4*모델!$B$21*모델!$B$23*MIN(H197,모델!$B$20)/설정!$B$68,모델!$B$19*(MIN(H197,모델!$B$20)*2*모델!$B$22*모델!$B$23*설정!$B$58+2*모델!$B$21*모델!$B$23*설정!$B$57)/설정!$B$60)*1000</f>
        <v>0</v>
      </c>
      <c r="I199" s="2"/>
    </row>
    <row r="200" customFormat="false" ht="17.15" hidden="false" customHeight="false" outlineLevel="0" collapsed="false">
      <c r="A200" s="33" t="s">
        <v>380</v>
      </c>
      <c r="B200" s="75" t="n">
        <f aca="false">(B188+B198+B199+B186)*(1+설정!$B$14)+B187+설정!$B$16</f>
        <v>83.8886455215686</v>
      </c>
      <c r="C200" s="75" t="n">
        <f aca="false">(C188+C198+C199+C186)*(1+설정!$B$14)+C187+설정!$B$16</f>
        <v>84.0695762823529</v>
      </c>
      <c r="D200" s="75" t="n">
        <f aca="false">(D188+D198+D199+D186)*(1+설정!$B$14)+D187+설정!$B$16</f>
        <v>84.4314378039216</v>
      </c>
      <c r="E200" s="75" t="n">
        <f aca="false">(E188+E198+E199+E186)*(1+설정!$B$14)+E187+설정!$B$16</f>
        <v>85.1551608470588</v>
      </c>
      <c r="F200" s="75" t="n">
        <f aca="false">(F188+F198+F199+F186)*(1+설정!$B$14)+F187+설정!$B$16</f>
        <v>86.6026069333333</v>
      </c>
      <c r="G200" s="75" t="n">
        <f aca="false">(G188+G198+G199+G186)*(1+설정!$B$14)+G187+설정!$B$16</f>
        <v>89.4974991058824</v>
      </c>
      <c r="H200" s="75" t="n">
        <f aca="false">(H188+H198+H199+H186)*(1+설정!$B$14)+H187+설정!$B$16</f>
        <v>95.2872834509804</v>
      </c>
      <c r="I200" s="2"/>
    </row>
    <row r="201" customFormat="false" ht="17.15" hidden="false" customHeight="false" outlineLevel="0" collapsed="false">
      <c r="A201" s="7" t="s">
        <v>381</v>
      </c>
      <c r="B201" s="74" t="n">
        <f aca="false">(B111+MAX(0,설정!$B$51-1)*B200)/1000</f>
        <v>21.5041085841569</v>
      </c>
      <c r="C201" s="74" t="n">
        <f aca="false">(C111+MAX(0,설정!$B$51-1)*C200)/1000</f>
        <v>21.6310322365701</v>
      </c>
      <c r="D201" s="74" t="n">
        <f aca="false">(D111+MAX(0,설정!$B$51-1)*D200)/1000</f>
        <v>21.8898544135951</v>
      </c>
      <c r="E201" s="74" t="n">
        <f aca="false">(E111+MAX(0,설정!$B$51-1)*E200)/1000</f>
        <v>22.4128724112404</v>
      </c>
      <c r="F201" s="74" t="n">
        <f aca="false">(F111+MAX(0,설정!$B$51-1)*F200)/1000</f>
        <v>23.4996294072762</v>
      </c>
      <c r="G201" s="74" t="n">
        <f aca="false">(G111+MAX(0,설정!$B$51-1)*G200)/1000</f>
        <v>25.7278373208867</v>
      </c>
      <c r="H201" s="74" t="n">
        <f aca="false">(H111+MAX(0,설정!$B$51-1)*H200)/1000</f>
        <v>30.5075163486168</v>
      </c>
      <c r="I201" s="32" t="s">
        <v>382</v>
      </c>
    </row>
    <row r="202" customFormat="false" ht="17.15" hidden="false" customHeight="false" outlineLevel="0" collapsed="false">
      <c r="A202" s="33" t="s">
        <v>383</v>
      </c>
      <c r="B202" s="66" t="n">
        <f aca="false">설정!$B$51/B201</f>
        <v>11.9047017921314</v>
      </c>
      <c r="C202" s="66" t="n">
        <f aca="false">설정!$B$51/C201</f>
        <v>11.834848989185</v>
      </c>
      <c r="D202" s="66" t="n">
        <f aca="false">설정!$B$51/D201</f>
        <v>11.6949156062457</v>
      </c>
      <c r="E202" s="66" t="n">
        <f aca="false">설정!$B$51/E201</f>
        <v>11.4220076437687</v>
      </c>
      <c r="F202" s="66" t="n">
        <f aca="false">설정!$B$51/F201</f>
        <v>10.8937888152711</v>
      </c>
      <c r="G202" s="66" t="n">
        <f aca="false">설정!$B$51/G201</f>
        <v>9.95031167241448</v>
      </c>
      <c r="H202" s="66" t="n">
        <f aca="false">설정!$B$51/H201</f>
        <v>8.39137467221605</v>
      </c>
      <c r="I202" s="2"/>
    </row>
    <row r="203" customFormat="false" ht="17.15" hidden="false" customHeight="false" outlineLevel="0" collapsed="false">
      <c r="A203" s="33" t="s">
        <v>384</v>
      </c>
      <c r="B203" s="72" t="n">
        <f aca="false">B111/1000/B201</f>
        <v>0.00523174330693949</v>
      </c>
      <c r="C203" s="72" t="n">
        <f aca="false">C111/1000/C201</f>
        <v>0.00893578644126467</v>
      </c>
      <c r="D203" s="72" t="n">
        <f aca="false">D111/1000/D201</f>
        <v>0.0164385640395864</v>
      </c>
      <c r="E203" s="72" t="n">
        <f aca="false">E111/1000/E201</f>
        <v>0.0311564882192519</v>
      </c>
      <c r="F203" s="72" t="n">
        <f aca="false">F111/1000/F201</f>
        <v>0.0602547646490863</v>
      </c>
      <c r="G203" s="72" t="n">
        <f aca="false">G111/1000/G201</f>
        <v>0.112950615033917</v>
      </c>
      <c r="H203" s="72" t="n">
        <f aca="false">H111/1000/H201</f>
        <v>0.203532106568823</v>
      </c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7.15" hidden="false" customHeight="false" outlineLevel="0" collapsed="false">
      <c r="A205" s="40" t="s">
        <v>385</v>
      </c>
      <c r="B205" s="29"/>
      <c r="C205" s="29"/>
      <c r="D205" s="29"/>
      <c r="E205" s="29"/>
      <c r="F205" s="29"/>
      <c r="G205" s="29"/>
      <c r="H205" s="29"/>
      <c r="I205" s="29"/>
    </row>
    <row r="206" customFormat="false" ht="15" hidden="false" customHeight="false" outlineLevel="0" collapsed="false">
      <c r="A206" s="7" t="s">
        <v>386</v>
      </c>
      <c r="B206" s="73" t="n">
        <f aca="false">설정!$B$54+설정!$B$51</f>
        <v>384</v>
      </c>
      <c r="C206" s="73" t="n">
        <f aca="false">설정!$C$54+설정!$B$51</f>
        <v>512</v>
      </c>
      <c r="D206" s="73" t="n">
        <f aca="false">설정!$D$54+설정!$B$51</f>
        <v>768</v>
      </c>
      <c r="E206" s="73" t="n">
        <f aca="false">설정!$E$54+설정!$B$51</f>
        <v>1280</v>
      </c>
      <c r="F206" s="73" t="n">
        <f aca="false">설정!$F$54+설정!$B$51</f>
        <v>2304</v>
      </c>
      <c r="G206" s="73" t="n">
        <f aca="false">설정!$G$54+설정!$B$51</f>
        <v>4352</v>
      </c>
      <c r="H206" s="73" t="n">
        <f aca="false">설정!$H$54+설정!$B$51</f>
        <v>8448</v>
      </c>
      <c r="I206" s="2"/>
    </row>
    <row r="207" customFormat="false" ht="17.15" hidden="false" customHeight="false" outlineLevel="0" collapsed="false">
      <c r="A207" s="33" t="s">
        <v>387</v>
      </c>
      <c r="B207" s="64" t="n">
        <f aca="false">모델!$B$61*1000000000/1073741824</f>
        <v>3.85610961914063</v>
      </c>
      <c r="C207" s="64" t="n">
        <f aca="false">모델!$B$61*1000000000/1073741824</f>
        <v>3.85610961914063</v>
      </c>
      <c r="D207" s="64" t="n">
        <f aca="false">모델!$B$61*1000000000/1073741824</f>
        <v>3.85610961914063</v>
      </c>
      <c r="E207" s="64" t="n">
        <f aca="false">모델!$B$61*1000000000/1073741824</f>
        <v>3.85610961914063</v>
      </c>
      <c r="F207" s="64" t="n">
        <f aca="false">모델!$B$61*1000000000/1073741824</f>
        <v>3.85610961914063</v>
      </c>
      <c r="G207" s="64" t="n">
        <f aca="false">모델!$B$61*1000000000/1073741824</f>
        <v>3.85610961914063</v>
      </c>
      <c r="H207" s="64" t="n">
        <f aca="false">모델!$B$61*1000000000/1073741824</f>
        <v>3.85610961914063</v>
      </c>
      <c r="I207" s="2"/>
    </row>
    <row r="208" customFormat="false" ht="15" hidden="false" customHeight="false" outlineLevel="0" collapsed="false">
      <c r="A208" s="30" t="s">
        <v>388</v>
      </c>
      <c r="B208" s="68" t="n">
        <f aca="false">(모델!$B$12*2*모델!$B$14*모델!$B$15*설정!$B$58*B206+모델!$B$19*2*모델!$B$22*모델!$B$23*설정!$B$58*MIN(B206,모델!$B$20)+모델!$B$26*(모델!$B$29*모델!$B$28*모델!$B$30*설정!$B$59+MAX(0,모델!$B$31-1)*모델!$B$52*설정!$B$57))/1073741824</f>
        <v>0.0234375</v>
      </c>
      <c r="C208" s="68" t="n">
        <f aca="false">(모델!$B$12*2*모델!$B$14*모델!$B$15*설정!$B$58*C206+모델!$B$19*2*모델!$B$22*모델!$B$23*설정!$B$58*MIN(C206,모델!$B$20)+모델!$B$26*(모델!$B$29*모델!$B$28*모델!$B$30*설정!$B$59+MAX(0,모델!$B$31-1)*모델!$B$52*설정!$B$57))/1073741824</f>
        <v>0.03125</v>
      </c>
      <c r="D208" s="68" t="n">
        <f aca="false">(모델!$B$12*2*모델!$B$14*모델!$B$15*설정!$B$58*D206+모델!$B$19*2*모델!$B$22*모델!$B$23*설정!$B$58*MIN(D206,모델!$B$20)+모델!$B$26*(모델!$B$29*모델!$B$28*모델!$B$30*설정!$B$59+MAX(0,모델!$B$31-1)*모델!$B$52*설정!$B$57))/1073741824</f>
        <v>0.046875</v>
      </c>
      <c r="E208" s="68" t="n">
        <f aca="false">(모델!$B$12*2*모델!$B$14*모델!$B$15*설정!$B$58*E206+모델!$B$19*2*모델!$B$22*모델!$B$23*설정!$B$58*MIN(E206,모델!$B$20)+모델!$B$26*(모델!$B$29*모델!$B$28*모델!$B$30*설정!$B$59+MAX(0,모델!$B$31-1)*모델!$B$52*설정!$B$57))/1073741824</f>
        <v>0.078125</v>
      </c>
      <c r="F208" s="68" t="n">
        <f aca="false">(모델!$B$12*2*모델!$B$14*모델!$B$15*설정!$B$58*F206+모델!$B$19*2*모델!$B$22*모델!$B$23*설정!$B$58*MIN(F206,모델!$B$20)+모델!$B$26*(모델!$B$29*모델!$B$28*모델!$B$30*설정!$B$59+MAX(0,모델!$B$31-1)*모델!$B$52*설정!$B$57))/1073741824</f>
        <v>0.140625</v>
      </c>
      <c r="G208" s="68" t="n">
        <f aca="false">(모델!$B$12*2*모델!$B$14*모델!$B$15*설정!$B$58*G206+모델!$B$19*2*모델!$B$22*모델!$B$23*설정!$B$58*MIN(G206,모델!$B$20)+모델!$B$26*(모델!$B$29*모델!$B$28*모델!$B$30*설정!$B$59+MAX(0,모델!$B$31-1)*모델!$B$52*설정!$B$57))/1073741824</f>
        <v>0.265625</v>
      </c>
      <c r="H208" s="68" t="n">
        <f aca="false">(모델!$B$12*2*모델!$B$14*모델!$B$15*설정!$B$58*H206+모델!$B$19*2*모델!$B$22*모델!$B$23*설정!$B$58*MIN(H206,모델!$B$20)+모델!$B$26*(모델!$B$29*모델!$B$28*모델!$B$30*설정!$B$59+MAX(0,모델!$B$31-1)*모델!$B$52*설정!$B$57))/1073741824</f>
        <v>0.515625</v>
      </c>
      <c r="I208" s="2"/>
    </row>
    <row r="209" customFormat="false" ht="17.15" hidden="false" customHeight="false" outlineLevel="0" collapsed="false">
      <c r="A209" s="33" t="s">
        <v>389</v>
      </c>
      <c r="B209" s="64" t="n">
        <f aca="false">설정!$B$13</f>
        <v>0.5</v>
      </c>
      <c r="C209" s="64" t="n">
        <f aca="false">설정!$B$13</f>
        <v>0.5</v>
      </c>
      <c r="D209" s="64" t="n">
        <f aca="false">설정!$B$13</f>
        <v>0.5</v>
      </c>
      <c r="E209" s="64" t="n">
        <f aca="false">설정!$B$13</f>
        <v>0.5</v>
      </c>
      <c r="F209" s="64" t="n">
        <f aca="false">설정!$B$13</f>
        <v>0.5</v>
      </c>
      <c r="G209" s="64" t="n">
        <f aca="false">설정!$B$13</f>
        <v>0.5</v>
      </c>
      <c r="H209" s="64" t="n">
        <f aca="false">설정!$B$13</f>
        <v>0.5</v>
      </c>
      <c r="I209" s="2"/>
    </row>
    <row r="210" customFormat="false" ht="17.15" hidden="false" customHeight="false" outlineLevel="0" collapsed="false">
      <c r="A210" s="7" t="s">
        <v>390</v>
      </c>
      <c r="B210" s="76" t="n">
        <f aca="false">B207+B208+B209</f>
        <v>4.37954711914063</v>
      </c>
      <c r="C210" s="76" t="n">
        <f aca="false">C207+C208+C209</f>
        <v>4.38735961914063</v>
      </c>
      <c r="D210" s="76" t="n">
        <f aca="false">D207+D208+D209</f>
        <v>4.40298461914063</v>
      </c>
      <c r="E210" s="76" t="n">
        <f aca="false">E207+E208+E209</f>
        <v>4.43423461914063</v>
      </c>
      <c r="F210" s="76" t="n">
        <f aca="false">F207+F208+F209</f>
        <v>4.49673461914063</v>
      </c>
      <c r="G210" s="76" t="n">
        <f aca="false">G207+G208+G209</f>
        <v>4.62173461914063</v>
      </c>
      <c r="H210" s="76" t="n">
        <f aca="false">H207+H208+H209</f>
        <v>4.87173461914063</v>
      </c>
      <c r="I210" s="2"/>
    </row>
    <row r="211" customFormat="false" ht="17.15" hidden="false" customHeight="false" outlineLevel="0" collapsed="false">
      <c r="A211" s="30" t="s">
        <v>391</v>
      </c>
      <c r="B211" s="70" t="str">
        <f aca="false">IF(B210&lt;=설정!$B$62,"OK +"&amp;TEXT(설정!$B$62-B210,"0.0"),"초과 -"&amp;TEXT(B210-설정!$B$62,"0.0"))</f>
        <v>OK +8.6</v>
      </c>
      <c r="C211" s="70" t="str">
        <f aca="false">IF(C210&lt;=설정!$B$62,"OK +"&amp;TEXT(설정!$B$62-C210,"0.0"),"초과 -"&amp;TEXT(C210-설정!$B$62,"0.0"))</f>
        <v>OK +8.6</v>
      </c>
      <c r="D211" s="70" t="str">
        <f aca="false">IF(D210&lt;=설정!$B$62,"OK +"&amp;TEXT(설정!$B$62-D210,"0.0"),"초과 -"&amp;TEXT(D210-설정!$B$62,"0.0"))</f>
        <v>OK +8.6</v>
      </c>
      <c r="E211" s="70" t="str">
        <f aca="false">IF(E210&lt;=설정!$B$62,"OK +"&amp;TEXT(설정!$B$62-E210,"0.0"),"초과 -"&amp;TEXT(E210-설정!$B$62,"0.0"))</f>
        <v>OK +8.6</v>
      </c>
      <c r="F211" s="70" t="str">
        <f aca="false">IF(F210&lt;=설정!$B$62,"OK +"&amp;TEXT(설정!$B$62-F210,"0.0"),"초과 -"&amp;TEXT(F210-설정!$B$62,"0.0"))</f>
        <v>OK +8.5</v>
      </c>
      <c r="G211" s="70" t="str">
        <f aca="false">IF(G210&lt;=설정!$B$62,"OK +"&amp;TEXT(설정!$B$62-G210,"0.0"),"초과 -"&amp;TEXT(G210-설정!$B$62,"0.0"))</f>
        <v>OK +8.4</v>
      </c>
      <c r="H211" s="70" t="str">
        <f aca="false">IF(H210&lt;=설정!$B$62,"OK +"&amp;TEXT(설정!$B$62-H210,"0.0"),"초과 -"&amp;TEXT(H210-설정!$B$62,"0.0"))</f>
        <v>OK +8.1</v>
      </c>
      <c r="I2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4"/>
  </cols>
  <sheetData>
    <row r="1" customFormat="false" ht="21.6" hidden="false" customHeight="false" outlineLevel="0" collapsed="false">
      <c r="A1" s="1" t="str">
        <f aca="false">모델!C6&amp;" — 계산 상세"</f>
        <v>gpt-oss-20b — 계산 상세</v>
      </c>
      <c r="B1" s="2"/>
      <c r="C1" s="2"/>
      <c r="D1" s="2"/>
      <c r="E1" s="2"/>
      <c r="F1" s="2"/>
      <c r="G1" s="2"/>
      <c r="H1" s="2"/>
      <c r="I1" s="2"/>
    </row>
    <row r="2" customFormat="false" ht="17.15" hidden="false" customHeight="false" outlineLevel="0" collapsed="false">
      <c r="A2" s="27" t="s">
        <v>242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7.15" hidden="false" customHeight="false" outlineLevel="0" collapsed="false">
      <c r="A4" s="48" t="s">
        <v>243</v>
      </c>
      <c r="B4" s="35" t="s">
        <v>244</v>
      </c>
      <c r="C4" s="35" t="s">
        <v>245</v>
      </c>
      <c r="D4" s="48" t="s">
        <v>246</v>
      </c>
      <c r="E4" s="48" t="s">
        <v>247</v>
      </c>
      <c r="F4" s="48" t="s">
        <v>248</v>
      </c>
      <c r="G4" s="35" t="s">
        <v>61</v>
      </c>
      <c r="H4" s="35" t="s">
        <v>249</v>
      </c>
      <c r="I4" s="48" t="s">
        <v>250</v>
      </c>
    </row>
    <row r="5" customFormat="false" ht="15" hidden="false" customHeight="false" outlineLevel="0" collapsed="false">
      <c r="A5" s="30" t="s">
        <v>251</v>
      </c>
      <c r="B5" s="59" t="n">
        <f aca="false">모델!$C$8</f>
        <v>2880</v>
      </c>
      <c r="C5" s="59" t="n">
        <f aca="false">모델!$C$13*모델!$C$15*모델!$C$16</f>
        <v>4096</v>
      </c>
      <c r="D5" s="59" t="n">
        <f aca="false">모델!$C$12</f>
        <v>12</v>
      </c>
      <c r="E5" s="2" t="s">
        <v>252</v>
      </c>
      <c r="F5" s="2" t="s">
        <v>65</v>
      </c>
      <c r="G5" s="60" t="n">
        <f aca="false">설정!$B$27</f>
        <v>4</v>
      </c>
      <c r="H5" s="61" t="n">
        <f aca="false">(설정!$B$27/8+IF(설정!$C$27=0,설정!$D$27/8/MAX(1,$B$5),설정!$D$27/8/설정!$C$27))</f>
        <v>0.515625</v>
      </c>
      <c r="I5" s="62" t="n">
        <f aca="false">설정!$B$63</f>
        <v>24000000000000</v>
      </c>
    </row>
    <row r="6" customFormat="false" ht="15" hidden="false" customHeight="false" outlineLevel="0" collapsed="false">
      <c r="A6" s="30" t="s">
        <v>253</v>
      </c>
      <c r="B6" s="59" t="n">
        <f aca="false">모델!$C$8</f>
        <v>2880</v>
      </c>
      <c r="C6" s="59" t="n">
        <f aca="false">모델!$C$14*모델!$C$15</f>
        <v>512</v>
      </c>
      <c r="D6" s="59" t="n">
        <f aca="false">모델!$C$12</f>
        <v>12</v>
      </c>
      <c r="E6" s="2" t="s">
        <v>252</v>
      </c>
      <c r="F6" s="2" t="s">
        <v>65</v>
      </c>
      <c r="G6" s="60" t="n">
        <f aca="false">설정!$B$27</f>
        <v>4</v>
      </c>
      <c r="H6" s="61" t="n">
        <f aca="false">(설정!$B$27/8+IF(설정!$C$27=0,설정!$D$27/8/MAX(1,$B$6),설정!$D$27/8/설정!$C$27))</f>
        <v>0.515625</v>
      </c>
      <c r="I6" s="62" t="n">
        <f aca="false">설정!$B$63</f>
        <v>24000000000000</v>
      </c>
    </row>
    <row r="7" customFormat="false" ht="15" hidden="false" customHeight="false" outlineLevel="0" collapsed="false">
      <c r="A7" s="30" t="s">
        <v>254</v>
      </c>
      <c r="B7" s="59" t="n">
        <f aca="false">모델!$C$8</f>
        <v>2880</v>
      </c>
      <c r="C7" s="59" t="n">
        <f aca="false">모델!$C$14*모델!$C$15</f>
        <v>512</v>
      </c>
      <c r="D7" s="59" t="n">
        <f aca="false">모델!$C$12*모델!$C$17</f>
        <v>12</v>
      </c>
      <c r="E7" s="2" t="s">
        <v>252</v>
      </c>
      <c r="F7" s="2" t="s">
        <v>65</v>
      </c>
      <c r="G7" s="60" t="n">
        <f aca="false">설정!$B$27</f>
        <v>4</v>
      </c>
      <c r="H7" s="61" t="n">
        <f aca="false">(설정!$B$27/8+IF(설정!$C$27=0,설정!$D$27/8/MAX(1,$B$7),설정!$D$27/8/설정!$C$27))</f>
        <v>0.515625</v>
      </c>
      <c r="I7" s="62" t="n">
        <f aca="false">설정!$B$63</f>
        <v>24000000000000</v>
      </c>
    </row>
    <row r="8" customFormat="false" ht="15" hidden="false" customHeight="false" outlineLevel="0" collapsed="false">
      <c r="A8" s="30" t="s">
        <v>255</v>
      </c>
      <c r="B8" s="59" t="n">
        <f aca="false">모델!$C$13*모델!$C$15</f>
        <v>4096</v>
      </c>
      <c r="C8" s="59" t="n">
        <f aca="false">모델!$C$8</f>
        <v>2880</v>
      </c>
      <c r="D8" s="59" t="n">
        <f aca="false">모델!$C$12</f>
        <v>12</v>
      </c>
      <c r="E8" s="2" t="s">
        <v>252</v>
      </c>
      <c r="F8" s="2" t="s">
        <v>65</v>
      </c>
      <c r="G8" s="60" t="n">
        <f aca="false">설정!$B$27</f>
        <v>4</v>
      </c>
      <c r="H8" s="61" t="n">
        <f aca="false">(설정!$B$27/8+IF(설정!$C$27=0,설정!$D$27/8/MAX(1,$B$8),설정!$D$27/8/설정!$C$27))</f>
        <v>0.515625</v>
      </c>
      <c r="I8" s="62" t="n">
        <f aca="false">설정!$B$63</f>
        <v>24000000000000</v>
      </c>
    </row>
    <row r="9" customFormat="false" ht="15" hidden="false" customHeight="false" outlineLevel="0" collapsed="false">
      <c r="A9" s="30" t="s">
        <v>256</v>
      </c>
      <c r="B9" s="59" t="n">
        <f aca="false">모델!$C$8</f>
        <v>2880</v>
      </c>
      <c r="C9" s="59" t="n">
        <f aca="false">모델!$C$21*모델!$C$23</f>
        <v>4096</v>
      </c>
      <c r="D9" s="59" t="n">
        <f aca="false">모델!$C$19</f>
        <v>12</v>
      </c>
      <c r="E9" s="2" t="s">
        <v>252</v>
      </c>
      <c r="F9" s="2" t="s">
        <v>65</v>
      </c>
      <c r="G9" s="60" t="n">
        <f aca="false">설정!$B$27</f>
        <v>4</v>
      </c>
      <c r="H9" s="61" t="n">
        <f aca="false">(설정!$B$27/8+IF(설정!$C$27=0,설정!$D$27/8/MAX(1,$B$9),설정!$D$27/8/설정!$C$27))</f>
        <v>0.515625</v>
      </c>
      <c r="I9" s="62" t="n">
        <f aca="false">설정!$B$63</f>
        <v>24000000000000</v>
      </c>
    </row>
    <row r="10" customFormat="false" ht="15" hidden="false" customHeight="false" outlineLevel="0" collapsed="false">
      <c r="A10" s="30" t="s">
        <v>257</v>
      </c>
      <c r="B10" s="59" t="n">
        <f aca="false">모델!$C$8</f>
        <v>2880</v>
      </c>
      <c r="C10" s="59" t="n">
        <f aca="false">모델!$C$22*모델!$C$23</f>
        <v>512</v>
      </c>
      <c r="D10" s="59" t="n">
        <f aca="false">모델!$C$19</f>
        <v>12</v>
      </c>
      <c r="E10" s="2" t="s">
        <v>252</v>
      </c>
      <c r="F10" s="2" t="s">
        <v>65</v>
      </c>
      <c r="G10" s="60" t="n">
        <f aca="false">설정!$B$27</f>
        <v>4</v>
      </c>
      <c r="H10" s="61" t="n">
        <f aca="false">(설정!$B$27/8+IF(설정!$C$27=0,설정!$D$27/8/MAX(1,$B$10),설정!$D$27/8/설정!$C$27))</f>
        <v>0.515625</v>
      </c>
      <c r="I10" s="62" t="n">
        <f aca="false">설정!$B$63</f>
        <v>24000000000000</v>
      </c>
    </row>
    <row r="11" customFormat="false" ht="15" hidden="false" customHeight="false" outlineLevel="0" collapsed="false">
      <c r="A11" s="30" t="s">
        <v>258</v>
      </c>
      <c r="B11" s="59" t="n">
        <f aca="false">모델!$C$8</f>
        <v>2880</v>
      </c>
      <c r="C11" s="59" t="n">
        <f aca="false">모델!$C$22*모델!$C$23</f>
        <v>512</v>
      </c>
      <c r="D11" s="59" t="n">
        <f aca="false">모델!$C$19*모델!$C$24</f>
        <v>12</v>
      </c>
      <c r="E11" s="2" t="s">
        <v>252</v>
      </c>
      <c r="F11" s="2" t="s">
        <v>65</v>
      </c>
      <c r="G11" s="60" t="n">
        <f aca="false">설정!$B$27</f>
        <v>4</v>
      </c>
      <c r="H11" s="61" t="n">
        <f aca="false">(설정!$B$27/8+IF(설정!$C$27=0,설정!$D$27/8/MAX(1,$B$11),설정!$D$27/8/설정!$C$27))</f>
        <v>0.515625</v>
      </c>
      <c r="I11" s="62" t="n">
        <f aca="false">설정!$B$63</f>
        <v>24000000000000</v>
      </c>
    </row>
    <row r="12" customFormat="false" ht="15" hidden="false" customHeight="false" outlineLevel="0" collapsed="false">
      <c r="A12" s="30" t="s">
        <v>259</v>
      </c>
      <c r="B12" s="59" t="n">
        <f aca="false">모델!$C$21*모델!$C$23</f>
        <v>4096</v>
      </c>
      <c r="C12" s="59" t="n">
        <f aca="false">모델!$C$8</f>
        <v>2880</v>
      </c>
      <c r="D12" s="59" t="n">
        <f aca="false">모델!$C$19</f>
        <v>12</v>
      </c>
      <c r="E12" s="2" t="s">
        <v>252</v>
      </c>
      <c r="F12" s="2" t="s">
        <v>65</v>
      </c>
      <c r="G12" s="60" t="n">
        <f aca="false">설정!$B$27</f>
        <v>4</v>
      </c>
      <c r="H12" s="61" t="n">
        <f aca="false">(설정!$B$27/8+IF(설정!$C$27=0,설정!$D$27/8/MAX(1,$B$12),설정!$D$27/8/설정!$C$27))</f>
        <v>0.515625</v>
      </c>
      <c r="I12" s="62" t="n">
        <f aca="false">설정!$B$63</f>
        <v>24000000000000</v>
      </c>
    </row>
    <row r="13" customFormat="false" ht="15" hidden="false" customHeight="false" outlineLevel="0" collapsed="false">
      <c r="A13" s="30" t="s">
        <v>260</v>
      </c>
      <c r="B13" s="59" t="n">
        <f aca="false">모델!$C$8</f>
        <v>2880</v>
      </c>
      <c r="C13" s="59" t="n">
        <f aca="false">모델!$C$52</f>
        <v>0</v>
      </c>
      <c r="D13" s="59" t="n">
        <f aca="false">모델!$C$26</f>
        <v>0</v>
      </c>
      <c r="E13" s="2" t="s">
        <v>252</v>
      </c>
      <c r="F13" s="2" t="s">
        <v>67</v>
      </c>
      <c r="G13" s="60" t="n">
        <f aca="false">설정!$B$28</f>
        <v>4</v>
      </c>
      <c r="H13" s="61" t="n">
        <f aca="false">(설정!$B$28/8+IF(설정!$C$28=0,설정!$D$28/8/MAX(1,$B$13),설정!$D$28/8/설정!$C$28))</f>
        <v>0.515625</v>
      </c>
      <c r="I13" s="62" t="n">
        <f aca="false">설정!$B$64</f>
        <v>24000000000000</v>
      </c>
    </row>
    <row r="14" customFormat="false" ht="15" hidden="false" customHeight="false" outlineLevel="0" collapsed="false">
      <c r="A14" s="30" t="s">
        <v>261</v>
      </c>
      <c r="B14" s="59" t="n">
        <f aca="false">모델!$C$8</f>
        <v>2880</v>
      </c>
      <c r="C14" s="59" t="n">
        <f aca="false">모델!$C$29*모델!$C$30</f>
        <v>0</v>
      </c>
      <c r="D14" s="59" t="n">
        <f aca="false">모델!$C$26</f>
        <v>0</v>
      </c>
      <c r="E14" s="2" t="s">
        <v>252</v>
      </c>
      <c r="F14" s="2" t="s">
        <v>67</v>
      </c>
      <c r="G14" s="60" t="n">
        <f aca="false">설정!$B$28</f>
        <v>4</v>
      </c>
      <c r="H14" s="61" t="n">
        <f aca="false">(설정!$B$28/8+IF(설정!$C$28=0,설정!$D$28/8/MAX(1,$B$14),설정!$D$28/8/설정!$C$28))</f>
        <v>0.515625</v>
      </c>
      <c r="I14" s="62" t="n">
        <f aca="false">설정!$B$64</f>
        <v>24000000000000</v>
      </c>
    </row>
    <row r="15" customFormat="false" ht="15" hidden="false" customHeight="false" outlineLevel="0" collapsed="false">
      <c r="A15" s="30" t="s">
        <v>262</v>
      </c>
      <c r="B15" s="59" t="n">
        <f aca="false">모델!$C$8</f>
        <v>2880</v>
      </c>
      <c r="C15" s="59" t="n">
        <f aca="false">2*모델!$C$29</f>
        <v>0</v>
      </c>
      <c r="D15" s="59" t="n">
        <f aca="false">모델!$C$26</f>
        <v>0</v>
      </c>
      <c r="E15" s="2" t="s">
        <v>252</v>
      </c>
      <c r="F15" s="2" t="s">
        <v>67</v>
      </c>
      <c r="G15" s="60" t="n">
        <f aca="false">설정!$B$28</f>
        <v>4</v>
      </c>
      <c r="H15" s="61" t="n">
        <f aca="false">(설정!$B$28/8+IF(설정!$C$28=0,설정!$D$28/8/MAX(1,$B$15),설정!$D$28/8/설정!$C$28))</f>
        <v>0.515625</v>
      </c>
      <c r="I15" s="62" t="n">
        <f aca="false">설정!$B$64</f>
        <v>24000000000000</v>
      </c>
    </row>
    <row r="16" customFormat="false" ht="15" hidden="false" customHeight="false" outlineLevel="0" collapsed="false">
      <c r="A16" s="30" t="s">
        <v>263</v>
      </c>
      <c r="B16" s="59" t="n">
        <f aca="false">모델!$C$29*모델!$C$30</f>
        <v>0</v>
      </c>
      <c r="C16" s="59" t="n">
        <f aca="false">모델!$C$8</f>
        <v>2880</v>
      </c>
      <c r="D16" s="59" t="n">
        <f aca="false">모델!$C$26</f>
        <v>0</v>
      </c>
      <c r="E16" s="2" t="s">
        <v>252</v>
      </c>
      <c r="F16" s="2" t="s">
        <v>67</v>
      </c>
      <c r="G16" s="60" t="n">
        <f aca="false">설정!$B$28</f>
        <v>4</v>
      </c>
      <c r="H16" s="61" t="n">
        <f aca="false">(설정!$B$28/8+IF(설정!$C$28=0,설정!$D$28/8/MAX(1,$B$16),설정!$D$28/8/설정!$C$28))</f>
        <v>0.515625</v>
      </c>
      <c r="I16" s="62" t="n">
        <f aca="false">설정!$B$64</f>
        <v>24000000000000</v>
      </c>
    </row>
    <row r="17" customFormat="false" ht="15" hidden="false" customHeight="false" outlineLevel="0" collapsed="false">
      <c r="A17" s="30" t="s">
        <v>264</v>
      </c>
      <c r="B17" s="59" t="n">
        <f aca="false">모델!$C$8</f>
        <v>2880</v>
      </c>
      <c r="C17" s="59" t="n">
        <f aca="false">모델!$C$36</f>
        <v>32</v>
      </c>
      <c r="D17" s="59" t="n">
        <f aca="false">IF(모델!$C$36&gt;1,모델!$C$7,0)</f>
        <v>24</v>
      </c>
      <c r="E17" s="2" t="s">
        <v>252</v>
      </c>
      <c r="F17" s="2" t="s">
        <v>71</v>
      </c>
      <c r="G17" s="60" t="n">
        <f aca="false">설정!$B$30</f>
        <v>8</v>
      </c>
      <c r="H17" s="61" t="n">
        <f aca="false">(설정!$B$30/8+IF(설정!$C$30=0,설정!$D$30/8/MAX(1,$B$17),설정!$D$30/8/설정!$C$30))</f>
        <v>1.015625</v>
      </c>
      <c r="I17" s="62" t="n">
        <f aca="false">설정!$B$66</f>
        <v>24000000000000</v>
      </c>
    </row>
    <row r="18" customFormat="false" ht="15" hidden="false" customHeight="false" outlineLevel="0" collapsed="false">
      <c r="A18" s="30" t="s">
        <v>265</v>
      </c>
      <c r="B18" s="59" t="n">
        <f aca="false">모델!$C$8</f>
        <v>2880</v>
      </c>
      <c r="C18" s="59" t="n">
        <f aca="false">모델!$C$34</f>
        <v>0</v>
      </c>
      <c r="D18" s="59" t="n">
        <f aca="false">IF(AND(모델!$C$34&gt;0,모델!$C$35&gt;=3),모델!$C$7,0)</f>
        <v>0</v>
      </c>
      <c r="E18" s="2" t="s">
        <v>252</v>
      </c>
      <c r="F18" s="2" t="s">
        <v>69</v>
      </c>
      <c r="G18" s="60" t="n">
        <f aca="false">설정!$B$29</f>
        <v>4</v>
      </c>
      <c r="H18" s="61" t="n">
        <f aca="false">(설정!$B$29/8+IF(설정!$C$29=0,설정!$D$29/8/MAX(1,$B$18),설정!$D$29/8/설정!$C$29))</f>
        <v>0.515625</v>
      </c>
      <c r="I18" s="62" t="n">
        <f aca="false">설정!$B$65</f>
        <v>24000000000000</v>
      </c>
    </row>
    <row r="19" customFormat="false" ht="15" hidden="false" customHeight="false" outlineLevel="0" collapsed="false">
      <c r="A19" s="30" t="s">
        <v>266</v>
      </c>
      <c r="B19" s="59" t="n">
        <f aca="false">모델!$C$8</f>
        <v>2880</v>
      </c>
      <c r="C19" s="59" t="n">
        <f aca="false">모델!$C$34</f>
        <v>0</v>
      </c>
      <c r="D19" s="59" t="n">
        <f aca="false">IF(모델!$C$34&gt;0,모델!$C$7,0)</f>
        <v>0</v>
      </c>
      <c r="E19" s="2" t="s">
        <v>252</v>
      </c>
      <c r="F19" s="2" t="s">
        <v>69</v>
      </c>
      <c r="G19" s="60" t="n">
        <f aca="false">설정!$B$29</f>
        <v>4</v>
      </c>
      <c r="H19" s="61" t="n">
        <f aca="false">(설정!$B$29/8+IF(설정!$C$29=0,설정!$D$29/8/MAX(1,$B$19),설정!$D$29/8/설정!$C$29))</f>
        <v>0.515625</v>
      </c>
      <c r="I19" s="62" t="n">
        <f aca="false">설정!$B$65</f>
        <v>24000000000000</v>
      </c>
    </row>
    <row r="20" customFormat="false" ht="15" hidden="false" customHeight="false" outlineLevel="0" collapsed="false">
      <c r="A20" s="30" t="s">
        <v>267</v>
      </c>
      <c r="B20" s="59" t="n">
        <f aca="false">모델!$C$34</f>
        <v>0</v>
      </c>
      <c r="C20" s="59" t="n">
        <f aca="false">모델!$C$8</f>
        <v>2880</v>
      </c>
      <c r="D20" s="59" t="n">
        <f aca="false">IF(모델!$C$34&gt;0,모델!$C$7,0)</f>
        <v>0</v>
      </c>
      <c r="E20" s="2" t="s">
        <v>252</v>
      </c>
      <c r="F20" s="2" t="s">
        <v>69</v>
      </c>
      <c r="G20" s="60" t="n">
        <f aca="false">설정!$B$29</f>
        <v>4</v>
      </c>
      <c r="H20" s="61" t="n">
        <f aca="false">(설정!$B$29/8+IF(설정!$C$29=0,설정!$D$29/8/MAX(1,$B$20),설정!$D$29/8/설정!$C$29))</f>
        <v>0.515625</v>
      </c>
      <c r="I20" s="62" t="n">
        <f aca="false">설정!$B$65</f>
        <v>24000000000000</v>
      </c>
    </row>
    <row r="21" customFormat="false" ht="15" hidden="false" customHeight="false" outlineLevel="0" collapsed="false">
      <c r="A21" s="30" t="s">
        <v>268</v>
      </c>
      <c r="B21" s="59" t="n">
        <f aca="false">모델!$C$8</f>
        <v>2880</v>
      </c>
      <c r="C21" s="59" t="n">
        <f aca="false">모델!$C$38</f>
        <v>2880</v>
      </c>
      <c r="D21" s="59" t="n">
        <f aca="false">IF(AND(모델!$C$36&gt;1,모델!$C$35&gt;=3),모델!$C$7,0)</f>
        <v>24</v>
      </c>
      <c r="E21" s="2" t="s">
        <v>269</v>
      </c>
      <c r="F21" s="2" t="s">
        <v>69</v>
      </c>
      <c r="G21" s="60" t="n">
        <f aca="false">설정!$B$29</f>
        <v>4</v>
      </c>
      <c r="H21" s="61" t="n">
        <f aca="false">(설정!$B$29/8+IF(설정!$C$29=0,설정!$D$29/8/MAX(1,$B$21),설정!$D$29/8/설정!$C$29))</f>
        <v>0.515625</v>
      </c>
      <c r="I21" s="62" t="n">
        <f aca="false">설정!$B$65</f>
        <v>24000000000000</v>
      </c>
    </row>
    <row r="22" customFormat="false" ht="15" hidden="false" customHeight="false" outlineLevel="0" collapsed="false">
      <c r="A22" s="30" t="s">
        <v>270</v>
      </c>
      <c r="B22" s="59" t="n">
        <f aca="false">모델!$C$8</f>
        <v>2880</v>
      </c>
      <c r="C22" s="59" t="n">
        <f aca="false">모델!$C$38</f>
        <v>2880</v>
      </c>
      <c r="D22" s="59" t="n">
        <f aca="false">IF(모델!$C$36&gt;1,모델!$C$7,0)</f>
        <v>24</v>
      </c>
      <c r="E22" s="2" t="s">
        <v>269</v>
      </c>
      <c r="F22" s="2" t="s">
        <v>69</v>
      </c>
      <c r="G22" s="60" t="n">
        <f aca="false">설정!$B$29</f>
        <v>4</v>
      </c>
      <c r="H22" s="61" t="n">
        <f aca="false">(설정!$B$29/8+IF(설정!$C$29=0,설정!$D$29/8/MAX(1,$B$22),설정!$D$29/8/설정!$C$29))</f>
        <v>0.515625</v>
      </c>
      <c r="I22" s="62" t="n">
        <f aca="false">설정!$B$65</f>
        <v>24000000000000</v>
      </c>
    </row>
    <row r="23" customFormat="false" ht="15" hidden="false" customHeight="false" outlineLevel="0" collapsed="false">
      <c r="A23" s="30" t="s">
        <v>271</v>
      </c>
      <c r="B23" s="59" t="n">
        <f aca="false">모델!$C$38</f>
        <v>2880</v>
      </c>
      <c r="C23" s="59" t="n">
        <f aca="false">모델!$C$8</f>
        <v>2880</v>
      </c>
      <c r="D23" s="59" t="n">
        <f aca="false">IF(모델!$C$36&gt;1,모델!$C$7,0)</f>
        <v>24</v>
      </c>
      <c r="E23" s="2" t="s">
        <v>269</v>
      </c>
      <c r="F23" s="2" t="s">
        <v>69</v>
      </c>
      <c r="G23" s="60" t="n">
        <f aca="false">설정!$B$29</f>
        <v>4</v>
      </c>
      <c r="H23" s="61" t="n">
        <f aca="false">(설정!$B$29/8+IF(설정!$C$29=0,설정!$D$29/8/MAX(1,$B$23),설정!$D$29/8/설정!$C$29))</f>
        <v>0.515625</v>
      </c>
      <c r="I23" s="62" t="n">
        <f aca="false">설정!$B$65</f>
        <v>24000000000000</v>
      </c>
    </row>
    <row r="24" customFormat="false" ht="15" hidden="false" customHeight="false" outlineLevel="0" collapsed="false">
      <c r="A24" s="30" t="s">
        <v>272</v>
      </c>
      <c r="B24" s="59" t="n">
        <f aca="false">모델!$C$8</f>
        <v>2880</v>
      </c>
      <c r="C24" s="59" t="n">
        <f aca="false">모델!$C$9</f>
        <v>201088</v>
      </c>
      <c r="D24" s="59" t="n">
        <f aca="false">1</f>
        <v>1</v>
      </c>
      <c r="E24" s="2" t="s">
        <v>273</v>
      </c>
      <c r="F24" s="2" t="s">
        <v>73</v>
      </c>
      <c r="G24" s="60" t="n">
        <f aca="false">설정!$B$31</f>
        <v>4</v>
      </c>
      <c r="H24" s="61" t="n">
        <f aca="false">(설정!$B$31/8+IF(설정!$C$31=0,설정!$D$31/8/MAX(1,$B$24),설정!$D$31/8/설정!$C$31))</f>
        <v>0.515625</v>
      </c>
      <c r="I24" s="62" t="n">
        <f aca="false">설정!$B$67</f>
        <v>24000000000000</v>
      </c>
    </row>
    <row r="25" customFormat="false" ht="17.15" hidden="false" customHeight="false" outlineLevel="0" collapsed="false">
      <c r="A25" s="22" t="s">
        <v>274</v>
      </c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7.15" hidden="false" customHeight="false" outlineLevel="0" collapsed="false">
      <c r="A27" s="28" t="s">
        <v>275</v>
      </c>
      <c r="B27" s="29"/>
      <c r="C27" s="29"/>
      <c r="D27" s="29"/>
      <c r="E27" s="29"/>
      <c r="F27" s="29"/>
      <c r="G27" s="29"/>
      <c r="H27" s="29"/>
      <c r="I27" s="29"/>
    </row>
    <row r="28" customFormat="false" ht="17.15" hidden="false" customHeight="false" outlineLevel="0" collapsed="false">
      <c r="A28" s="7" t="s">
        <v>276</v>
      </c>
      <c r="B28" s="63" t="n">
        <f aca="false">설정!$B$54</f>
        <v>128</v>
      </c>
      <c r="C28" s="63" t="n">
        <f aca="false">설정!$C$54</f>
        <v>256</v>
      </c>
      <c r="D28" s="63" t="n">
        <f aca="false">설정!$D$54</f>
        <v>512</v>
      </c>
      <c r="E28" s="63" t="n">
        <f aca="false">설정!$E$54</f>
        <v>1024</v>
      </c>
      <c r="F28" s="63" t="n">
        <f aca="false">설정!$F$54</f>
        <v>2048</v>
      </c>
      <c r="G28" s="63" t="n">
        <f aca="false">설정!$G$54</f>
        <v>4096</v>
      </c>
      <c r="H28" s="63" t="n">
        <f aca="false">설정!$H$54</f>
        <v>8192</v>
      </c>
      <c r="I28" s="2"/>
    </row>
    <row r="29" customFormat="false" ht="17.15" hidden="false" customHeight="false" outlineLevel="0" collapsed="false">
      <c r="A29" s="33" t="s">
        <v>277</v>
      </c>
      <c r="B29" s="64" t="n">
        <f aca="false">IF(모델!$C$36&gt;1,IF(AND(설정!$B$47="실측",ISNUMBER('Expert 실측'!$C$7)),MIN(모델!$C$36,MAX(1,'Expert 실측'!$C$7)),모델!$C$36*(1-EXP(MAX(-700,B28*LN(1-MIN(모델!$C$37/모델!$C$36,0.999999)))))),1)</f>
        <v>31.9999987916833</v>
      </c>
      <c r="C29" s="64" t="n">
        <f aca="false">IF(모델!$C$36&gt;1,IF(AND(설정!$B$47="실측",ISNUMBER('Expert 실측'!$C$8)),MIN(모델!$C$36,MAX(1,'Expert 실측'!$C$8)),모델!$C$36*(1-EXP(MAX(-700,C28*LN(1-MIN(모델!$C$37/모델!$C$36,0.999999)))))),1)</f>
        <v>32</v>
      </c>
      <c r="D29" s="64" t="n">
        <f aca="false">IF(모델!$C$36&gt;1,IF(AND(설정!$B$47="실측",ISNUMBER('Expert 실측'!$C$9)),MIN(모델!$C$36,MAX(1,'Expert 실측'!$C$9)),모델!$C$36*(1-EXP(MAX(-700,D28*LN(1-MIN(모델!$C$37/모델!$C$36,0.999999)))))),1)</f>
        <v>32</v>
      </c>
      <c r="E29" s="64" t="n">
        <f aca="false">IF(모델!$C$36&gt;1,IF(AND(설정!$B$47="실측",ISNUMBER('Expert 실측'!$C$10)),MIN(모델!$C$36,MAX(1,'Expert 실측'!$C$10)),모델!$C$36*(1-EXP(MAX(-700,E28*LN(1-MIN(모델!$C$37/모델!$C$36,0.999999)))))),1)</f>
        <v>32</v>
      </c>
      <c r="F29" s="64" t="n">
        <f aca="false">IF(모델!$C$36&gt;1,IF(AND(설정!$B$47="실측",ISNUMBER('Expert 실측'!$C$11)),MIN(모델!$C$36,MAX(1,'Expert 실측'!$C$11)),모델!$C$36*(1-EXP(MAX(-700,F28*LN(1-MIN(모델!$C$37/모델!$C$36,0.999999)))))),1)</f>
        <v>32</v>
      </c>
      <c r="G29" s="64" t="n">
        <f aca="false">IF(모델!$C$36&gt;1,IF(AND(설정!$B$47="실측",ISNUMBER('Expert 실측'!$C$12)),MIN(모델!$C$36,MAX(1,'Expert 실측'!$C$12)),모델!$C$36*(1-EXP(MAX(-700,G28*LN(1-MIN(모델!$C$37/모델!$C$36,0.999999)))))),1)</f>
        <v>32</v>
      </c>
      <c r="H29" s="64" t="n">
        <f aca="false">IF(모델!$C$36&gt;1,IF(AND(설정!$B$47="실측",ISNUMBER('Expert 실측'!$C$13)),MIN(모델!$C$36,MAX(1,'Expert 실측'!$C$13)),모델!$C$36*(1-EXP(MAX(-700,H28*LN(1-MIN(모델!$C$37/모델!$C$36,0.999999)))))),1)</f>
        <v>32</v>
      </c>
      <c r="I29" s="2"/>
    </row>
    <row r="30" customFormat="false" ht="17.15" hidden="false" customHeight="false" outlineLevel="0" collapsed="false">
      <c r="A30" s="30" t="s">
        <v>278</v>
      </c>
      <c r="B30" s="65" t="n">
        <f aca="false">IF(모델!$C$36&gt;1,B29/모델!$C$36,1)</f>
        <v>0.999999962240104</v>
      </c>
      <c r="C30" s="65" t="n">
        <f aca="false">IF(모델!$C$36&gt;1,C29/모델!$C$36,1)</f>
        <v>0.999999999999999</v>
      </c>
      <c r="D30" s="65" t="n">
        <f aca="false">IF(모델!$C$36&gt;1,D29/모델!$C$36,1)</f>
        <v>1</v>
      </c>
      <c r="E30" s="65" t="n">
        <f aca="false">IF(모델!$C$36&gt;1,E29/모델!$C$36,1)</f>
        <v>1</v>
      </c>
      <c r="F30" s="65" t="n">
        <f aca="false">IF(모델!$C$36&gt;1,F29/모델!$C$36,1)</f>
        <v>1</v>
      </c>
      <c r="G30" s="65" t="n">
        <f aca="false">IF(모델!$C$36&gt;1,G29/모델!$C$36,1)</f>
        <v>1</v>
      </c>
      <c r="H30" s="65" t="n">
        <f aca="false">IF(모델!$C$36&gt;1,H29/모델!$C$36,1)</f>
        <v>1</v>
      </c>
      <c r="I30" s="32" t="s">
        <v>279</v>
      </c>
    </row>
    <row r="31" customFormat="false" ht="17.15" hidden="false" customHeight="false" outlineLevel="0" collapsed="false">
      <c r="A31" s="30" t="s">
        <v>280</v>
      </c>
      <c r="B31" s="66" t="n">
        <f aca="false">IF(모델!$C$36&gt;1,B28*모델!$C$37/B29,B28)</f>
        <v>16.0000006041584</v>
      </c>
      <c r="C31" s="66" t="n">
        <f aca="false">IF(모델!$C$36&gt;1,C28*모델!$C$37/C29,C28)</f>
        <v>32.0000000000001</v>
      </c>
      <c r="D31" s="66" t="n">
        <f aca="false">IF(모델!$C$36&gt;1,D28*모델!$C$37/D29,D28)</f>
        <v>64</v>
      </c>
      <c r="E31" s="66" t="n">
        <f aca="false">IF(모델!$C$36&gt;1,E28*모델!$C$37/E29,E28)</f>
        <v>128</v>
      </c>
      <c r="F31" s="66" t="n">
        <f aca="false">IF(모델!$C$36&gt;1,F28*모델!$C$37/F29,F28)</f>
        <v>256</v>
      </c>
      <c r="G31" s="66" t="n">
        <f aca="false">IF(모델!$C$36&gt;1,G28*모델!$C$37/G29,G28)</f>
        <v>512</v>
      </c>
      <c r="H31" s="66" t="n">
        <f aca="false">IF(모델!$C$36&gt;1,H28*모델!$C$37/H29,H28)</f>
        <v>1024</v>
      </c>
      <c r="I31" s="2"/>
    </row>
    <row r="32" customFormat="false" ht="17.15" hidden="false" customHeight="false" outlineLevel="0" collapsed="false">
      <c r="A32" s="30" t="s">
        <v>281</v>
      </c>
      <c r="B32" s="67" t="n">
        <f aca="false">($D$5)*2*(B$28)*$B$5*$C$5</f>
        <v>36238786560</v>
      </c>
      <c r="C32" s="67" t="n">
        <f aca="false">($D$5)*2*(C$28)*$B$5*$C$5</f>
        <v>72477573120</v>
      </c>
      <c r="D32" s="67" t="n">
        <f aca="false">($D$5)*2*(D$28)*$B$5*$C$5</f>
        <v>144955146240</v>
      </c>
      <c r="E32" s="67" t="n">
        <f aca="false">($D$5)*2*(E$28)*$B$5*$C$5</f>
        <v>289910292480</v>
      </c>
      <c r="F32" s="67" t="n">
        <f aca="false">($D$5)*2*(F$28)*$B$5*$C$5</f>
        <v>579820584960</v>
      </c>
      <c r="G32" s="67" t="n">
        <f aca="false">($D$5)*2*(G$28)*$B$5*$C$5</f>
        <v>1159641169920</v>
      </c>
      <c r="H32" s="67" t="n">
        <f aca="false">($D$5)*2*(H$28)*$B$5*$C$5</f>
        <v>2319282339840</v>
      </c>
      <c r="I32" s="2"/>
    </row>
    <row r="33" customFormat="false" ht="17.15" hidden="false" customHeight="false" outlineLevel="0" collapsed="false">
      <c r="A33" s="30" t="s">
        <v>282</v>
      </c>
      <c r="B33" s="67" t="n">
        <f aca="false">($D$5)*MIN(($B$5*$C$5*$H$5)*MAX(1,ROUNDUP(((B$28)*$B$5*설정!$B$57)/설정!$B$61,0))+((B$28)*$B$5*설정!$B$57)+((B$28)*$C$5*설정!$B$57),($B$5*$C$5*$H$5)+((B$28)*$B$5*설정!$B$57)*MAX(1,ROUNDUP(($B$5*$C$5*$H$5)/설정!$B$61,0))+((B$28)*$C$5*설정!$B$57))</f>
        <v>83705856</v>
      </c>
      <c r="C33" s="67" t="n">
        <f aca="false">($D$5)*MIN(($B$5*$C$5*$H$5)*MAX(1,ROUNDUP(((C$28)*$B$5*설정!$B$57)/설정!$B$61,0))+((C$28)*$B$5*설정!$B$57)+((C$28)*$C$5*설정!$B$57),($B$5*$C$5*$H$5)+((C$28)*$B$5*설정!$B$57)*MAX(1,ROUNDUP(($B$5*$C$5*$H$5)/설정!$B$61,0))+((C$28)*$C$5*설정!$B$57))</f>
        <v>94420992</v>
      </c>
      <c r="D33" s="67" t="n">
        <f aca="false">($D$5)*MIN(($B$5*$C$5*$H$5)*MAX(1,ROUNDUP(((D$28)*$B$5*설정!$B$57)/설정!$B$61,0))+((D$28)*$B$5*설정!$B$57)+((D$28)*$C$5*설정!$B$57),($B$5*$C$5*$H$5)+((D$28)*$B$5*설정!$B$57)*MAX(1,ROUNDUP(($B$5*$C$5*$H$5)/설정!$B$61,0))+((D$28)*$C$5*설정!$B$57))</f>
        <v>115851264</v>
      </c>
      <c r="E33" s="67" t="n">
        <f aca="false">($D$5)*MIN(($B$5*$C$5*$H$5)*MAX(1,ROUNDUP(((E$28)*$B$5*설정!$B$57)/설정!$B$61,0))+((E$28)*$B$5*설정!$B$57)+((E$28)*$C$5*설정!$B$57),($B$5*$C$5*$H$5)+((E$28)*$B$5*설정!$B$57)*MAX(1,ROUNDUP(($B$5*$C$5*$H$5)/설정!$B$61,0))+((E$28)*$C$5*설정!$B$57))</f>
        <v>231702528</v>
      </c>
      <c r="F33" s="67" t="n">
        <f aca="false">($D$5)*MIN(($B$5*$C$5*$H$5)*MAX(1,ROUNDUP(((F$28)*$B$5*설정!$B$57)/설정!$B$61,0))+((F$28)*$B$5*설정!$B$57)+((F$28)*$C$5*설정!$B$57),($B$5*$C$5*$H$5)+((F$28)*$B$5*설정!$B$57)*MAX(1,ROUNDUP(($B$5*$C$5*$H$5)/설정!$B$61,0))+((F$28)*$C$5*설정!$B$57))</f>
        <v>456769536</v>
      </c>
      <c r="G33" s="67" t="n">
        <f aca="false">($D$5)*MIN(($B$5*$C$5*$H$5)*MAX(1,ROUNDUP(((G$28)*$B$5*설정!$B$57)/설정!$B$61,0))+((G$28)*$B$5*설정!$B$57)+((G$28)*$C$5*설정!$B$57),($B$5*$C$5*$H$5)+((G$28)*$B$5*설정!$B$57)*MAX(1,ROUNDUP(($B$5*$C$5*$H$5)/설정!$B$61,0))+((G$28)*$C$5*설정!$B$57))</f>
        <v>840548352</v>
      </c>
      <c r="H33" s="67" t="n">
        <f aca="false">($D$5)*MIN(($B$5*$C$5*$H$5)*MAX(1,ROUNDUP(((H$28)*$B$5*설정!$B$57)/설정!$B$61,0))+((H$28)*$B$5*설정!$B$57)+((H$28)*$C$5*설정!$B$57),($B$5*$C$5*$H$5)+((H$28)*$B$5*설정!$B$57)*MAX(1,ROUNDUP(($B$5*$C$5*$H$5)/설정!$B$61,0))+((H$28)*$C$5*설정!$B$57))</f>
        <v>1608105984</v>
      </c>
      <c r="I33" s="2"/>
    </row>
    <row r="34" customFormat="false" ht="17.15" hidden="false" customHeight="false" outlineLevel="0" collapsed="false">
      <c r="A34" s="30" t="s">
        <v>283</v>
      </c>
      <c r="B34" s="68" t="n">
        <f aca="false">MAX(B32/$I$5,B33/설정!$B$60)*1000</f>
        <v>1.64129129411765</v>
      </c>
      <c r="C34" s="68" t="n">
        <f aca="false">MAX(C32/$I$5,C33/설정!$B$60)*1000</f>
        <v>3.01989888</v>
      </c>
      <c r="D34" s="68" t="n">
        <f aca="false">MAX(D32/$I$5,D33/설정!$B$60)*1000</f>
        <v>6.03979776</v>
      </c>
      <c r="E34" s="68" t="n">
        <f aca="false">MAX(E32/$I$5,E33/설정!$B$60)*1000</f>
        <v>12.07959552</v>
      </c>
      <c r="F34" s="68" t="n">
        <f aca="false">MAX(F32/$I$5,F33/설정!$B$60)*1000</f>
        <v>24.15919104</v>
      </c>
      <c r="G34" s="68" t="n">
        <f aca="false">MAX(G32/$I$5,G33/설정!$B$60)*1000</f>
        <v>48.31838208</v>
      </c>
      <c r="H34" s="68" t="n">
        <f aca="false">MAX(H32/$I$5,H33/설정!$B$60)*1000</f>
        <v>96.63676416</v>
      </c>
      <c r="I34" s="2"/>
    </row>
    <row r="35" customFormat="false" ht="17.15" hidden="false" customHeight="false" outlineLevel="0" collapsed="false">
      <c r="A35" s="30" t="s">
        <v>284</v>
      </c>
      <c r="B35" s="67" t="n">
        <f aca="false">($D$6)*2*(B$28)*$B$6*$C$6</f>
        <v>4529848320</v>
      </c>
      <c r="C35" s="67" t="n">
        <f aca="false">($D$6)*2*(C$28)*$B$6*$C$6</f>
        <v>9059696640</v>
      </c>
      <c r="D35" s="67" t="n">
        <f aca="false">($D$6)*2*(D$28)*$B$6*$C$6</f>
        <v>18119393280</v>
      </c>
      <c r="E35" s="67" t="n">
        <f aca="false">($D$6)*2*(E$28)*$B$6*$C$6</f>
        <v>36238786560</v>
      </c>
      <c r="F35" s="67" t="n">
        <f aca="false">($D$6)*2*(F$28)*$B$6*$C$6</f>
        <v>72477573120</v>
      </c>
      <c r="G35" s="67" t="n">
        <f aca="false">($D$6)*2*(G$28)*$B$6*$C$6</f>
        <v>144955146240</v>
      </c>
      <c r="H35" s="67" t="n">
        <f aca="false">($D$6)*2*(H$28)*$B$6*$C$6</f>
        <v>289910292480</v>
      </c>
      <c r="I35" s="2"/>
    </row>
    <row r="36" customFormat="false" ht="17.15" hidden="false" customHeight="false" outlineLevel="0" collapsed="false">
      <c r="A36" s="30" t="s">
        <v>285</v>
      </c>
      <c r="B36" s="67" t="n">
        <f aca="false">($D$6)*MIN(($B$6*$C$6*$H$6)*MAX(1,ROUNDUP(((B$28)*$B$6*설정!$B$57)/설정!$B$61,0))+((B$28)*$B$6*설정!$B$57)+((B$28)*$C$6*설정!$B$57),($B$6*$C$6*$H$6)+((B$28)*$B$6*설정!$B$57)*MAX(1,ROUNDUP(($B$6*$C$6*$H$6)/설정!$B$61,0))+((B$28)*$C$6*설정!$B$57))</f>
        <v>14333952</v>
      </c>
      <c r="C36" s="67" t="n">
        <f aca="false">($D$6)*MIN(($B$6*$C$6*$H$6)*MAX(1,ROUNDUP(((C$28)*$B$6*설정!$B$57)/설정!$B$61,0))+((C$28)*$B$6*설정!$B$57)+((C$28)*$C$6*설정!$B$57),($B$6*$C$6*$H$6)+((C$28)*$B$6*설정!$B$57)*MAX(1,ROUNDUP(($B$6*$C$6*$H$6)/설정!$B$61,0))+((C$28)*$C$6*설정!$B$57))</f>
        <v>19544064</v>
      </c>
      <c r="D36" s="67" t="n">
        <f aca="false">($D$6)*MIN(($B$6*$C$6*$H$6)*MAX(1,ROUNDUP(((D$28)*$B$6*설정!$B$57)/설정!$B$61,0))+((D$28)*$B$6*설정!$B$57)+((D$28)*$C$6*설정!$B$57),($B$6*$C$6*$H$6)+((D$28)*$B$6*설정!$B$57)*MAX(1,ROUNDUP(($B$6*$C$6*$H$6)/설정!$B$61,0))+((D$28)*$C$6*설정!$B$57))</f>
        <v>29964288</v>
      </c>
      <c r="E36" s="67" t="n">
        <f aca="false">($D$6)*MIN(($B$6*$C$6*$H$6)*MAX(1,ROUNDUP(((E$28)*$B$6*설정!$B$57)/설정!$B$61,0))+((E$28)*$B$6*설정!$B$57)+((E$28)*$C$6*설정!$B$57),($B$6*$C$6*$H$6)+((E$28)*$B$6*설정!$B$57)*MAX(1,ROUNDUP(($B$6*$C$6*$H$6)/설정!$B$61,0))+((E$28)*$C$6*설정!$B$57))</f>
        <v>50804736</v>
      </c>
      <c r="F36" s="67" t="n">
        <f aca="false">($D$6)*MIN(($B$6*$C$6*$H$6)*MAX(1,ROUNDUP(((F$28)*$B$6*설정!$B$57)/설정!$B$61,0))+((F$28)*$B$6*설정!$B$57)+((F$28)*$C$6*설정!$B$57),($B$6*$C$6*$H$6)+((F$28)*$B$6*설정!$B$57)*MAX(1,ROUNDUP(($B$6*$C$6*$H$6)/설정!$B$61,0))+((F$28)*$C$6*설정!$B$57))</f>
        <v>92485632</v>
      </c>
      <c r="G36" s="67" t="n">
        <f aca="false">($D$6)*MIN(($B$6*$C$6*$H$6)*MAX(1,ROUNDUP(((G$28)*$B$6*설정!$B$57)/설정!$B$61,0))+((G$28)*$B$6*설정!$B$57)+((G$28)*$C$6*설정!$B$57),($B$6*$C$6*$H$6)+((G$28)*$B$6*설정!$B$57)*MAX(1,ROUNDUP(($B$6*$C$6*$H$6)/설정!$B$61,0))+((G$28)*$C$6*설정!$B$57))</f>
        <v>175847424</v>
      </c>
      <c r="H36" s="67" t="n">
        <f aca="false">($D$6)*MIN(($B$6*$C$6*$H$6)*MAX(1,ROUNDUP(((H$28)*$B$6*설정!$B$57)/설정!$B$61,0))+((H$28)*$B$6*설정!$B$57)+((H$28)*$C$6*설정!$B$57),($B$6*$C$6*$H$6)+((H$28)*$B$6*설정!$B$57)*MAX(1,ROUNDUP(($B$6*$C$6*$H$6)/설정!$B$61,0))+((H$28)*$C$6*설정!$B$57))</f>
        <v>342571008</v>
      </c>
      <c r="I36" s="2"/>
    </row>
    <row r="37" customFormat="false" ht="17.15" hidden="false" customHeight="false" outlineLevel="0" collapsed="false">
      <c r="A37" s="30" t="s">
        <v>286</v>
      </c>
      <c r="B37" s="68" t="n">
        <f aca="false">MAX(B35/$I$6,B36/설정!$B$60)*1000</f>
        <v>0.281057882352941</v>
      </c>
      <c r="C37" s="68" t="n">
        <f aca="false">MAX(C35/$I$6,C36/설정!$B$60)*1000</f>
        <v>0.383216941176471</v>
      </c>
      <c r="D37" s="68" t="n">
        <f aca="false">MAX(D35/$I$6,D36/설정!$B$60)*1000</f>
        <v>0.75497472</v>
      </c>
      <c r="E37" s="68" t="n">
        <f aca="false">MAX(E35/$I$6,E36/설정!$B$60)*1000</f>
        <v>1.50994944</v>
      </c>
      <c r="F37" s="68" t="n">
        <f aca="false">MAX(F35/$I$6,F36/설정!$B$60)*1000</f>
        <v>3.01989888</v>
      </c>
      <c r="G37" s="68" t="n">
        <f aca="false">MAX(G35/$I$6,G36/설정!$B$60)*1000</f>
        <v>6.03979776</v>
      </c>
      <c r="H37" s="68" t="n">
        <f aca="false">MAX(H35/$I$6,H36/설정!$B$60)*1000</f>
        <v>12.07959552</v>
      </c>
      <c r="I37" s="2"/>
    </row>
    <row r="38" customFormat="false" ht="17.15" hidden="false" customHeight="false" outlineLevel="0" collapsed="false">
      <c r="A38" s="30" t="s">
        <v>287</v>
      </c>
      <c r="B38" s="67" t="n">
        <f aca="false">($D$7)*2*(B$28)*$B$7*$C$7</f>
        <v>4529848320</v>
      </c>
      <c r="C38" s="67" t="n">
        <f aca="false">($D$7)*2*(C$28)*$B$7*$C$7</f>
        <v>9059696640</v>
      </c>
      <c r="D38" s="67" t="n">
        <f aca="false">($D$7)*2*(D$28)*$B$7*$C$7</f>
        <v>18119393280</v>
      </c>
      <c r="E38" s="67" t="n">
        <f aca="false">($D$7)*2*(E$28)*$B$7*$C$7</f>
        <v>36238786560</v>
      </c>
      <c r="F38" s="67" t="n">
        <f aca="false">($D$7)*2*(F$28)*$B$7*$C$7</f>
        <v>72477573120</v>
      </c>
      <c r="G38" s="67" t="n">
        <f aca="false">($D$7)*2*(G$28)*$B$7*$C$7</f>
        <v>144955146240</v>
      </c>
      <c r="H38" s="67" t="n">
        <f aca="false">($D$7)*2*(H$28)*$B$7*$C$7</f>
        <v>289910292480</v>
      </c>
      <c r="I38" s="2"/>
    </row>
    <row r="39" customFormat="false" ht="17.15" hidden="false" customHeight="false" outlineLevel="0" collapsed="false">
      <c r="A39" s="30" t="s">
        <v>288</v>
      </c>
      <c r="B39" s="67" t="n">
        <f aca="false">($D$7)*MIN(($B$7*$C$7*$H$7)*MAX(1,ROUNDUP(((B$28)*$B$7*설정!$B$57)/설정!$B$61,0))+((B$28)*$B$7*설정!$B$57)+((B$28)*$C$7*설정!$B$57),($B$7*$C$7*$H$7)+((B$28)*$B$7*설정!$B$57)*MAX(1,ROUNDUP(($B$7*$C$7*$H$7)/설정!$B$61,0))+((B$28)*$C$7*설정!$B$57))</f>
        <v>14333952</v>
      </c>
      <c r="C39" s="67" t="n">
        <f aca="false">($D$7)*MIN(($B$7*$C$7*$H$7)*MAX(1,ROUNDUP(((C$28)*$B$7*설정!$B$57)/설정!$B$61,0))+((C$28)*$B$7*설정!$B$57)+((C$28)*$C$7*설정!$B$57),($B$7*$C$7*$H$7)+((C$28)*$B$7*설정!$B$57)*MAX(1,ROUNDUP(($B$7*$C$7*$H$7)/설정!$B$61,0))+((C$28)*$C$7*설정!$B$57))</f>
        <v>19544064</v>
      </c>
      <c r="D39" s="67" t="n">
        <f aca="false">($D$7)*MIN(($B$7*$C$7*$H$7)*MAX(1,ROUNDUP(((D$28)*$B$7*설정!$B$57)/설정!$B$61,0))+((D$28)*$B$7*설정!$B$57)+((D$28)*$C$7*설정!$B$57),($B$7*$C$7*$H$7)+((D$28)*$B$7*설정!$B$57)*MAX(1,ROUNDUP(($B$7*$C$7*$H$7)/설정!$B$61,0))+((D$28)*$C$7*설정!$B$57))</f>
        <v>29964288</v>
      </c>
      <c r="E39" s="67" t="n">
        <f aca="false">($D$7)*MIN(($B$7*$C$7*$H$7)*MAX(1,ROUNDUP(((E$28)*$B$7*설정!$B$57)/설정!$B$61,0))+((E$28)*$B$7*설정!$B$57)+((E$28)*$C$7*설정!$B$57),($B$7*$C$7*$H$7)+((E$28)*$B$7*설정!$B$57)*MAX(1,ROUNDUP(($B$7*$C$7*$H$7)/설정!$B$61,0))+((E$28)*$C$7*설정!$B$57))</f>
        <v>50804736</v>
      </c>
      <c r="F39" s="67" t="n">
        <f aca="false">($D$7)*MIN(($B$7*$C$7*$H$7)*MAX(1,ROUNDUP(((F$28)*$B$7*설정!$B$57)/설정!$B$61,0))+((F$28)*$B$7*설정!$B$57)+((F$28)*$C$7*설정!$B$57),($B$7*$C$7*$H$7)+((F$28)*$B$7*설정!$B$57)*MAX(1,ROUNDUP(($B$7*$C$7*$H$7)/설정!$B$61,0))+((F$28)*$C$7*설정!$B$57))</f>
        <v>92485632</v>
      </c>
      <c r="G39" s="67" t="n">
        <f aca="false">($D$7)*MIN(($B$7*$C$7*$H$7)*MAX(1,ROUNDUP(((G$28)*$B$7*설정!$B$57)/설정!$B$61,0))+((G$28)*$B$7*설정!$B$57)+((G$28)*$C$7*설정!$B$57),($B$7*$C$7*$H$7)+((G$28)*$B$7*설정!$B$57)*MAX(1,ROUNDUP(($B$7*$C$7*$H$7)/설정!$B$61,0))+((G$28)*$C$7*설정!$B$57))</f>
        <v>175847424</v>
      </c>
      <c r="H39" s="67" t="n">
        <f aca="false">($D$7)*MIN(($B$7*$C$7*$H$7)*MAX(1,ROUNDUP(((H$28)*$B$7*설정!$B$57)/설정!$B$61,0))+((H$28)*$B$7*설정!$B$57)+((H$28)*$C$7*설정!$B$57),($B$7*$C$7*$H$7)+((H$28)*$B$7*설정!$B$57)*MAX(1,ROUNDUP(($B$7*$C$7*$H$7)/설정!$B$61,0))+((H$28)*$C$7*설정!$B$57))</f>
        <v>342571008</v>
      </c>
      <c r="I39" s="2"/>
    </row>
    <row r="40" customFormat="false" ht="17.15" hidden="false" customHeight="false" outlineLevel="0" collapsed="false">
      <c r="A40" s="30" t="s">
        <v>289</v>
      </c>
      <c r="B40" s="68" t="n">
        <f aca="false">MAX(B38/$I$7,B39/설정!$B$60)*1000</f>
        <v>0.281057882352941</v>
      </c>
      <c r="C40" s="68" t="n">
        <f aca="false">MAX(C38/$I$7,C39/설정!$B$60)*1000</f>
        <v>0.383216941176471</v>
      </c>
      <c r="D40" s="68" t="n">
        <f aca="false">MAX(D38/$I$7,D39/설정!$B$60)*1000</f>
        <v>0.75497472</v>
      </c>
      <c r="E40" s="68" t="n">
        <f aca="false">MAX(E38/$I$7,E39/설정!$B$60)*1000</f>
        <v>1.50994944</v>
      </c>
      <c r="F40" s="68" t="n">
        <f aca="false">MAX(F38/$I$7,F39/설정!$B$60)*1000</f>
        <v>3.01989888</v>
      </c>
      <c r="G40" s="68" t="n">
        <f aca="false">MAX(G38/$I$7,G39/설정!$B$60)*1000</f>
        <v>6.03979776</v>
      </c>
      <c r="H40" s="68" t="n">
        <f aca="false">MAX(H38/$I$7,H39/설정!$B$60)*1000</f>
        <v>12.07959552</v>
      </c>
      <c r="I40" s="2"/>
    </row>
    <row r="41" customFormat="false" ht="17.15" hidden="false" customHeight="false" outlineLevel="0" collapsed="false">
      <c r="A41" s="30" t="s">
        <v>290</v>
      </c>
      <c r="B41" s="67" t="n">
        <f aca="false">($D$8)*2*(B$28)*$B$8*$C$8</f>
        <v>36238786560</v>
      </c>
      <c r="C41" s="67" t="n">
        <f aca="false">($D$8)*2*(C$28)*$B$8*$C$8</f>
        <v>72477573120</v>
      </c>
      <c r="D41" s="67" t="n">
        <f aca="false">($D$8)*2*(D$28)*$B$8*$C$8</f>
        <v>144955146240</v>
      </c>
      <c r="E41" s="67" t="n">
        <f aca="false">($D$8)*2*(E$28)*$B$8*$C$8</f>
        <v>289910292480</v>
      </c>
      <c r="F41" s="67" t="n">
        <f aca="false">($D$8)*2*(F$28)*$B$8*$C$8</f>
        <v>579820584960</v>
      </c>
      <c r="G41" s="67" t="n">
        <f aca="false">($D$8)*2*(G$28)*$B$8*$C$8</f>
        <v>1159641169920</v>
      </c>
      <c r="H41" s="67" t="n">
        <f aca="false">($D$8)*2*(H$28)*$B$8*$C$8</f>
        <v>2319282339840</v>
      </c>
      <c r="I41" s="2"/>
    </row>
    <row r="42" customFormat="false" ht="17.15" hidden="false" customHeight="false" outlineLevel="0" collapsed="false">
      <c r="A42" s="30" t="s">
        <v>291</v>
      </c>
      <c r="B42" s="67" t="n">
        <f aca="false">($D$8)*MIN(($B$8*$C$8*$H$8)*MAX(1,ROUNDUP(((B$28)*$B$8*설정!$B$57)/설정!$B$61,0))+((B$28)*$B$8*설정!$B$57)+((B$28)*$C$8*설정!$B$57),($B$8*$C$8*$H$8)+((B$28)*$B$8*설정!$B$57)*MAX(1,ROUNDUP(($B$8*$C$8*$H$8)/설정!$B$61,0))+((B$28)*$C$8*설정!$B$57))</f>
        <v>83705856</v>
      </c>
      <c r="C42" s="67" t="n">
        <f aca="false">($D$8)*MIN(($B$8*$C$8*$H$8)*MAX(1,ROUNDUP(((C$28)*$B$8*설정!$B$57)/설정!$B$61,0))+((C$28)*$B$8*설정!$B$57)+((C$28)*$C$8*설정!$B$57),($B$8*$C$8*$H$8)+((C$28)*$B$8*설정!$B$57)*MAX(1,ROUNDUP(($B$8*$C$8*$H$8)/설정!$B$61,0))+((C$28)*$C$8*설정!$B$57))</f>
        <v>94420992</v>
      </c>
      <c r="D42" s="67" t="n">
        <f aca="false">($D$8)*MIN(($B$8*$C$8*$H$8)*MAX(1,ROUNDUP(((D$28)*$B$8*설정!$B$57)/설정!$B$61,0))+((D$28)*$B$8*설정!$B$57)+((D$28)*$C$8*설정!$B$57),($B$8*$C$8*$H$8)+((D$28)*$B$8*설정!$B$57)*MAX(1,ROUNDUP(($B$8*$C$8*$H$8)/설정!$B$61,0))+((D$28)*$C$8*설정!$B$57))</f>
        <v>188841984</v>
      </c>
      <c r="E42" s="67" t="n">
        <f aca="false">($D$8)*MIN(($B$8*$C$8*$H$8)*MAX(1,ROUNDUP(((E$28)*$B$8*설정!$B$57)/설정!$B$61,0))+((E$28)*$B$8*설정!$B$57)+((E$28)*$C$8*설정!$B$57),($B$8*$C$8*$H$8)+((E$28)*$B$8*설정!$B$57)*MAX(1,ROUNDUP(($B$8*$C$8*$H$8)/설정!$B$61,0))+((E$28)*$C$8*설정!$B$57))</f>
        <v>304693248</v>
      </c>
      <c r="F42" s="67" t="n">
        <f aca="false">($D$8)*MIN(($B$8*$C$8*$H$8)*MAX(1,ROUNDUP(((F$28)*$B$8*설정!$B$57)/설정!$B$61,0))+((F$28)*$B$8*설정!$B$57)+((F$28)*$C$8*설정!$B$57),($B$8*$C$8*$H$8)+((F$28)*$B$8*설정!$B$57)*MAX(1,ROUNDUP(($B$8*$C$8*$H$8)/설정!$B$61,0))+((F$28)*$C$8*설정!$B$57))</f>
        <v>536395776</v>
      </c>
      <c r="G42" s="67" t="n">
        <f aca="false">($D$8)*MIN(($B$8*$C$8*$H$8)*MAX(1,ROUNDUP(((G$28)*$B$8*설정!$B$57)/설정!$B$61,0))+((G$28)*$B$8*설정!$B$57)+((G$28)*$C$8*설정!$B$57),($B$8*$C$8*$H$8)+((G$28)*$B$8*설정!$B$57)*MAX(1,ROUNDUP(($B$8*$C$8*$H$8)/설정!$B$61,0))+((G$28)*$C$8*설정!$B$57))</f>
        <v>1019854848</v>
      </c>
      <c r="H42" s="67" t="n">
        <f aca="false">($D$8)*MIN(($B$8*$C$8*$H$8)*MAX(1,ROUNDUP(((H$28)*$B$8*설정!$B$57)/설정!$B$61,0))+((H$28)*$B$8*설정!$B$57)+((H$28)*$C$8*설정!$B$57),($B$8*$C$8*$H$8)+((H$28)*$B$8*설정!$B$57)*MAX(1,ROUNDUP(($B$8*$C$8*$H$8)/설정!$B$61,0))+((H$28)*$C$8*설정!$B$57))</f>
        <v>1966718976</v>
      </c>
      <c r="I42" s="2"/>
    </row>
    <row r="43" customFormat="false" ht="17.15" hidden="false" customHeight="false" outlineLevel="0" collapsed="false">
      <c r="A43" s="30" t="s">
        <v>292</v>
      </c>
      <c r="B43" s="68" t="n">
        <f aca="false">MAX(B41/$I$8,B42/설정!$B$60)*1000</f>
        <v>1.64129129411765</v>
      </c>
      <c r="C43" s="68" t="n">
        <f aca="false">MAX(C41/$I$8,C42/설정!$B$60)*1000</f>
        <v>3.01989888</v>
      </c>
      <c r="D43" s="68" t="n">
        <f aca="false">MAX(D41/$I$8,D42/설정!$B$60)*1000</f>
        <v>6.03979776</v>
      </c>
      <c r="E43" s="68" t="n">
        <f aca="false">MAX(E41/$I$8,E42/설정!$B$60)*1000</f>
        <v>12.07959552</v>
      </c>
      <c r="F43" s="68" t="n">
        <f aca="false">MAX(F41/$I$8,F42/설정!$B$60)*1000</f>
        <v>24.15919104</v>
      </c>
      <c r="G43" s="68" t="n">
        <f aca="false">MAX(G41/$I$8,G42/설정!$B$60)*1000</f>
        <v>48.31838208</v>
      </c>
      <c r="H43" s="68" t="n">
        <f aca="false">MAX(H41/$I$8,H42/설정!$B$60)*1000</f>
        <v>96.63676416</v>
      </c>
      <c r="I43" s="2"/>
    </row>
    <row r="44" customFormat="false" ht="17.15" hidden="false" customHeight="false" outlineLevel="0" collapsed="false">
      <c r="A44" s="30" t="s">
        <v>293</v>
      </c>
      <c r="B44" s="67" t="n">
        <f aca="false">($D$9)*2*(B$28)*$B$9*$C$9</f>
        <v>36238786560</v>
      </c>
      <c r="C44" s="67" t="n">
        <f aca="false">($D$9)*2*(C$28)*$B$9*$C$9</f>
        <v>72477573120</v>
      </c>
      <c r="D44" s="67" t="n">
        <f aca="false">($D$9)*2*(D$28)*$B$9*$C$9</f>
        <v>144955146240</v>
      </c>
      <c r="E44" s="67" t="n">
        <f aca="false">($D$9)*2*(E$28)*$B$9*$C$9</f>
        <v>289910292480</v>
      </c>
      <c r="F44" s="67" t="n">
        <f aca="false">($D$9)*2*(F$28)*$B$9*$C$9</f>
        <v>579820584960</v>
      </c>
      <c r="G44" s="67" t="n">
        <f aca="false">($D$9)*2*(G$28)*$B$9*$C$9</f>
        <v>1159641169920</v>
      </c>
      <c r="H44" s="67" t="n">
        <f aca="false">($D$9)*2*(H$28)*$B$9*$C$9</f>
        <v>2319282339840</v>
      </c>
      <c r="I44" s="2"/>
    </row>
    <row r="45" customFormat="false" ht="17.15" hidden="false" customHeight="false" outlineLevel="0" collapsed="false">
      <c r="A45" s="30" t="s">
        <v>294</v>
      </c>
      <c r="B45" s="67" t="n">
        <f aca="false">($D$9)*MIN(($B$9*$C$9*$H$9)*MAX(1,ROUNDUP(((B$28)*$B$9*설정!$B$57)/설정!$B$61,0))+((B$28)*$B$9*설정!$B$57)+((B$28)*$C$9*설정!$B$57),($B$9*$C$9*$H$9)+((B$28)*$B$9*설정!$B$57)*MAX(1,ROUNDUP(($B$9*$C$9*$H$9)/설정!$B$61,0))+((B$28)*$C$9*설정!$B$57))</f>
        <v>83705856</v>
      </c>
      <c r="C45" s="67" t="n">
        <f aca="false">($D$9)*MIN(($B$9*$C$9*$H$9)*MAX(1,ROUNDUP(((C$28)*$B$9*설정!$B$57)/설정!$B$61,0))+((C$28)*$B$9*설정!$B$57)+((C$28)*$C$9*설정!$B$57),($B$9*$C$9*$H$9)+((C$28)*$B$9*설정!$B$57)*MAX(1,ROUNDUP(($B$9*$C$9*$H$9)/설정!$B$61,0))+((C$28)*$C$9*설정!$B$57))</f>
        <v>94420992</v>
      </c>
      <c r="D45" s="67" t="n">
        <f aca="false">($D$9)*MIN(($B$9*$C$9*$H$9)*MAX(1,ROUNDUP(((D$28)*$B$9*설정!$B$57)/설정!$B$61,0))+((D$28)*$B$9*설정!$B$57)+((D$28)*$C$9*설정!$B$57),($B$9*$C$9*$H$9)+((D$28)*$B$9*설정!$B$57)*MAX(1,ROUNDUP(($B$9*$C$9*$H$9)/설정!$B$61,0))+((D$28)*$C$9*설정!$B$57))</f>
        <v>115851264</v>
      </c>
      <c r="E45" s="67" t="n">
        <f aca="false">($D$9)*MIN(($B$9*$C$9*$H$9)*MAX(1,ROUNDUP(((E$28)*$B$9*설정!$B$57)/설정!$B$61,0))+((E$28)*$B$9*설정!$B$57)+((E$28)*$C$9*설정!$B$57),($B$9*$C$9*$H$9)+((E$28)*$B$9*설정!$B$57)*MAX(1,ROUNDUP(($B$9*$C$9*$H$9)/설정!$B$61,0))+((E$28)*$C$9*설정!$B$57))</f>
        <v>231702528</v>
      </c>
      <c r="F45" s="67" t="n">
        <f aca="false">($D$9)*MIN(($B$9*$C$9*$H$9)*MAX(1,ROUNDUP(((F$28)*$B$9*설정!$B$57)/설정!$B$61,0))+((F$28)*$B$9*설정!$B$57)+((F$28)*$C$9*설정!$B$57),($B$9*$C$9*$H$9)+((F$28)*$B$9*설정!$B$57)*MAX(1,ROUNDUP(($B$9*$C$9*$H$9)/설정!$B$61,0))+((F$28)*$C$9*설정!$B$57))</f>
        <v>456769536</v>
      </c>
      <c r="G45" s="67" t="n">
        <f aca="false">($D$9)*MIN(($B$9*$C$9*$H$9)*MAX(1,ROUNDUP(((G$28)*$B$9*설정!$B$57)/설정!$B$61,0))+((G$28)*$B$9*설정!$B$57)+((G$28)*$C$9*설정!$B$57),($B$9*$C$9*$H$9)+((G$28)*$B$9*설정!$B$57)*MAX(1,ROUNDUP(($B$9*$C$9*$H$9)/설정!$B$61,0))+((G$28)*$C$9*설정!$B$57))</f>
        <v>840548352</v>
      </c>
      <c r="H45" s="67" t="n">
        <f aca="false">($D$9)*MIN(($B$9*$C$9*$H$9)*MAX(1,ROUNDUP(((H$28)*$B$9*설정!$B$57)/설정!$B$61,0))+((H$28)*$B$9*설정!$B$57)+((H$28)*$C$9*설정!$B$57),($B$9*$C$9*$H$9)+((H$28)*$B$9*설정!$B$57)*MAX(1,ROUNDUP(($B$9*$C$9*$H$9)/설정!$B$61,0))+((H$28)*$C$9*설정!$B$57))</f>
        <v>1608105984</v>
      </c>
      <c r="I45" s="2"/>
    </row>
    <row r="46" customFormat="false" ht="17.15" hidden="false" customHeight="false" outlineLevel="0" collapsed="false">
      <c r="A46" s="30" t="s">
        <v>295</v>
      </c>
      <c r="B46" s="68" t="n">
        <f aca="false">MAX(B44/$I$9,B45/설정!$B$60)*1000</f>
        <v>1.64129129411765</v>
      </c>
      <c r="C46" s="68" t="n">
        <f aca="false">MAX(C44/$I$9,C45/설정!$B$60)*1000</f>
        <v>3.01989888</v>
      </c>
      <c r="D46" s="68" t="n">
        <f aca="false">MAX(D44/$I$9,D45/설정!$B$60)*1000</f>
        <v>6.03979776</v>
      </c>
      <c r="E46" s="68" t="n">
        <f aca="false">MAX(E44/$I$9,E45/설정!$B$60)*1000</f>
        <v>12.07959552</v>
      </c>
      <c r="F46" s="68" t="n">
        <f aca="false">MAX(F44/$I$9,F45/설정!$B$60)*1000</f>
        <v>24.15919104</v>
      </c>
      <c r="G46" s="68" t="n">
        <f aca="false">MAX(G44/$I$9,G45/설정!$B$60)*1000</f>
        <v>48.31838208</v>
      </c>
      <c r="H46" s="68" t="n">
        <f aca="false">MAX(H44/$I$9,H45/설정!$B$60)*1000</f>
        <v>96.63676416</v>
      </c>
      <c r="I46" s="2"/>
    </row>
    <row r="47" customFormat="false" ht="17.15" hidden="false" customHeight="false" outlineLevel="0" collapsed="false">
      <c r="A47" s="30" t="s">
        <v>296</v>
      </c>
      <c r="B47" s="67" t="n">
        <f aca="false">($D$10)*2*(B$28)*$B$10*$C$10</f>
        <v>4529848320</v>
      </c>
      <c r="C47" s="67" t="n">
        <f aca="false">($D$10)*2*(C$28)*$B$10*$C$10</f>
        <v>9059696640</v>
      </c>
      <c r="D47" s="67" t="n">
        <f aca="false">($D$10)*2*(D$28)*$B$10*$C$10</f>
        <v>18119393280</v>
      </c>
      <c r="E47" s="67" t="n">
        <f aca="false">($D$10)*2*(E$28)*$B$10*$C$10</f>
        <v>36238786560</v>
      </c>
      <c r="F47" s="67" t="n">
        <f aca="false">($D$10)*2*(F$28)*$B$10*$C$10</f>
        <v>72477573120</v>
      </c>
      <c r="G47" s="67" t="n">
        <f aca="false">($D$10)*2*(G$28)*$B$10*$C$10</f>
        <v>144955146240</v>
      </c>
      <c r="H47" s="67" t="n">
        <f aca="false">($D$10)*2*(H$28)*$B$10*$C$10</f>
        <v>289910292480</v>
      </c>
      <c r="I47" s="2"/>
    </row>
    <row r="48" customFormat="false" ht="17.15" hidden="false" customHeight="false" outlineLevel="0" collapsed="false">
      <c r="A48" s="30" t="s">
        <v>297</v>
      </c>
      <c r="B48" s="67" t="n">
        <f aca="false">($D$10)*MIN(($B$10*$C$10*$H$10)*MAX(1,ROUNDUP(((B$28)*$B$10*설정!$B$57)/설정!$B$61,0))+((B$28)*$B$10*설정!$B$57)+((B$28)*$C$10*설정!$B$57),($B$10*$C$10*$H$10)+((B$28)*$B$10*설정!$B$57)*MAX(1,ROUNDUP(($B$10*$C$10*$H$10)/설정!$B$61,0))+((B$28)*$C$10*설정!$B$57))</f>
        <v>14333952</v>
      </c>
      <c r="C48" s="67" t="n">
        <f aca="false">($D$10)*MIN(($B$10*$C$10*$H$10)*MAX(1,ROUNDUP(((C$28)*$B$10*설정!$B$57)/설정!$B$61,0))+((C$28)*$B$10*설정!$B$57)+((C$28)*$C$10*설정!$B$57),($B$10*$C$10*$H$10)+((C$28)*$B$10*설정!$B$57)*MAX(1,ROUNDUP(($B$10*$C$10*$H$10)/설정!$B$61,0))+((C$28)*$C$10*설정!$B$57))</f>
        <v>19544064</v>
      </c>
      <c r="D48" s="67" t="n">
        <f aca="false">($D$10)*MIN(($B$10*$C$10*$H$10)*MAX(1,ROUNDUP(((D$28)*$B$10*설정!$B$57)/설정!$B$61,0))+((D$28)*$B$10*설정!$B$57)+((D$28)*$C$10*설정!$B$57),($B$10*$C$10*$H$10)+((D$28)*$B$10*설정!$B$57)*MAX(1,ROUNDUP(($B$10*$C$10*$H$10)/설정!$B$61,0))+((D$28)*$C$10*설정!$B$57))</f>
        <v>29964288</v>
      </c>
      <c r="E48" s="67" t="n">
        <f aca="false">($D$10)*MIN(($B$10*$C$10*$H$10)*MAX(1,ROUNDUP(((E$28)*$B$10*설정!$B$57)/설정!$B$61,0))+((E$28)*$B$10*설정!$B$57)+((E$28)*$C$10*설정!$B$57),($B$10*$C$10*$H$10)+((E$28)*$B$10*설정!$B$57)*MAX(1,ROUNDUP(($B$10*$C$10*$H$10)/설정!$B$61,0))+((E$28)*$C$10*설정!$B$57))</f>
        <v>50804736</v>
      </c>
      <c r="F48" s="67" t="n">
        <f aca="false">($D$10)*MIN(($B$10*$C$10*$H$10)*MAX(1,ROUNDUP(((F$28)*$B$10*설정!$B$57)/설정!$B$61,0))+((F$28)*$B$10*설정!$B$57)+((F$28)*$C$10*설정!$B$57),($B$10*$C$10*$H$10)+((F$28)*$B$10*설정!$B$57)*MAX(1,ROUNDUP(($B$10*$C$10*$H$10)/설정!$B$61,0))+((F$28)*$C$10*설정!$B$57))</f>
        <v>92485632</v>
      </c>
      <c r="G48" s="67" t="n">
        <f aca="false">($D$10)*MIN(($B$10*$C$10*$H$10)*MAX(1,ROUNDUP(((G$28)*$B$10*설정!$B$57)/설정!$B$61,0))+((G$28)*$B$10*설정!$B$57)+((G$28)*$C$10*설정!$B$57),($B$10*$C$10*$H$10)+((G$28)*$B$10*설정!$B$57)*MAX(1,ROUNDUP(($B$10*$C$10*$H$10)/설정!$B$61,0))+((G$28)*$C$10*설정!$B$57))</f>
        <v>175847424</v>
      </c>
      <c r="H48" s="67" t="n">
        <f aca="false">($D$10)*MIN(($B$10*$C$10*$H$10)*MAX(1,ROUNDUP(((H$28)*$B$10*설정!$B$57)/설정!$B$61,0))+((H$28)*$B$10*설정!$B$57)+((H$28)*$C$10*설정!$B$57),($B$10*$C$10*$H$10)+((H$28)*$B$10*설정!$B$57)*MAX(1,ROUNDUP(($B$10*$C$10*$H$10)/설정!$B$61,0))+((H$28)*$C$10*설정!$B$57))</f>
        <v>342571008</v>
      </c>
      <c r="I48" s="2"/>
    </row>
    <row r="49" customFormat="false" ht="17.15" hidden="false" customHeight="false" outlineLevel="0" collapsed="false">
      <c r="A49" s="30" t="s">
        <v>298</v>
      </c>
      <c r="B49" s="68" t="n">
        <f aca="false">MAX(B47/$I$10,B48/설정!$B$60)*1000</f>
        <v>0.281057882352941</v>
      </c>
      <c r="C49" s="68" t="n">
        <f aca="false">MAX(C47/$I$10,C48/설정!$B$60)*1000</f>
        <v>0.383216941176471</v>
      </c>
      <c r="D49" s="68" t="n">
        <f aca="false">MAX(D47/$I$10,D48/설정!$B$60)*1000</f>
        <v>0.75497472</v>
      </c>
      <c r="E49" s="68" t="n">
        <f aca="false">MAX(E47/$I$10,E48/설정!$B$60)*1000</f>
        <v>1.50994944</v>
      </c>
      <c r="F49" s="68" t="n">
        <f aca="false">MAX(F47/$I$10,F48/설정!$B$60)*1000</f>
        <v>3.01989888</v>
      </c>
      <c r="G49" s="68" t="n">
        <f aca="false">MAX(G47/$I$10,G48/설정!$B$60)*1000</f>
        <v>6.03979776</v>
      </c>
      <c r="H49" s="68" t="n">
        <f aca="false">MAX(H47/$I$10,H48/설정!$B$60)*1000</f>
        <v>12.07959552</v>
      </c>
      <c r="I49" s="2"/>
    </row>
    <row r="50" customFormat="false" ht="17.15" hidden="false" customHeight="false" outlineLevel="0" collapsed="false">
      <c r="A50" s="30" t="s">
        <v>299</v>
      </c>
      <c r="B50" s="67" t="n">
        <f aca="false">($D$11)*2*(B$28)*$B$11*$C$11</f>
        <v>4529848320</v>
      </c>
      <c r="C50" s="67" t="n">
        <f aca="false">($D$11)*2*(C$28)*$B$11*$C$11</f>
        <v>9059696640</v>
      </c>
      <c r="D50" s="67" t="n">
        <f aca="false">($D$11)*2*(D$28)*$B$11*$C$11</f>
        <v>18119393280</v>
      </c>
      <c r="E50" s="67" t="n">
        <f aca="false">($D$11)*2*(E$28)*$B$11*$C$11</f>
        <v>36238786560</v>
      </c>
      <c r="F50" s="67" t="n">
        <f aca="false">($D$11)*2*(F$28)*$B$11*$C$11</f>
        <v>72477573120</v>
      </c>
      <c r="G50" s="67" t="n">
        <f aca="false">($D$11)*2*(G$28)*$B$11*$C$11</f>
        <v>144955146240</v>
      </c>
      <c r="H50" s="67" t="n">
        <f aca="false">($D$11)*2*(H$28)*$B$11*$C$11</f>
        <v>289910292480</v>
      </c>
      <c r="I50" s="2"/>
    </row>
    <row r="51" customFormat="false" ht="17.15" hidden="false" customHeight="false" outlineLevel="0" collapsed="false">
      <c r="A51" s="30" t="s">
        <v>300</v>
      </c>
      <c r="B51" s="67" t="n">
        <f aca="false">($D$11)*MIN(($B$11*$C$11*$H$11)*MAX(1,ROUNDUP(((B$28)*$B$11*설정!$B$57)/설정!$B$61,0))+((B$28)*$B$11*설정!$B$57)+((B$28)*$C$11*설정!$B$57),($B$11*$C$11*$H$11)+((B$28)*$B$11*설정!$B$57)*MAX(1,ROUNDUP(($B$11*$C$11*$H$11)/설정!$B$61,0))+((B$28)*$C$11*설정!$B$57))</f>
        <v>14333952</v>
      </c>
      <c r="C51" s="67" t="n">
        <f aca="false">($D$11)*MIN(($B$11*$C$11*$H$11)*MAX(1,ROUNDUP(((C$28)*$B$11*설정!$B$57)/설정!$B$61,0))+((C$28)*$B$11*설정!$B$57)+((C$28)*$C$11*설정!$B$57),($B$11*$C$11*$H$11)+((C$28)*$B$11*설정!$B$57)*MAX(1,ROUNDUP(($B$11*$C$11*$H$11)/설정!$B$61,0))+((C$28)*$C$11*설정!$B$57))</f>
        <v>19544064</v>
      </c>
      <c r="D51" s="67" t="n">
        <f aca="false">($D$11)*MIN(($B$11*$C$11*$H$11)*MAX(1,ROUNDUP(((D$28)*$B$11*설정!$B$57)/설정!$B$61,0))+((D$28)*$B$11*설정!$B$57)+((D$28)*$C$11*설정!$B$57),($B$11*$C$11*$H$11)+((D$28)*$B$11*설정!$B$57)*MAX(1,ROUNDUP(($B$11*$C$11*$H$11)/설정!$B$61,0))+((D$28)*$C$11*설정!$B$57))</f>
        <v>29964288</v>
      </c>
      <c r="E51" s="67" t="n">
        <f aca="false">($D$11)*MIN(($B$11*$C$11*$H$11)*MAX(1,ROUNDUP(((E$28)*$B$11*설정!$B$57)/설정!$B$61,0))+((E$28)*$B$11*설정!$B$57)+((E$28)*$C$11*설정!$B$57),($B$11*$C$11*$H$11)+((E$28)*$B$11*설정!$B$57)*MAX(1,ROUNDUP(($B$11*$C$11*$H$11)/설정!$B$61,0))+((E$28)*$C$11*설정!$B$57))</f>
        <v>50804736</v>
      </c>
      <c r="F51" s="67" t="n">
        <f aca="false">($D$11)*MIN(($B$11*$C$11*$H$11)*MAX(1,ROUNDUP(((F$28)*$B$11*설정!$B$57)/설정!$B$61,0))+((F$28)*$B$11*설정!$B$57)+((F$28)*$C$11*설정!$B$57),($B$11*$C$11*$H$11)+((F$28)*$B$11*설정!$B$57)*MAX(1,ROUNDUP(($B$11*$C$11*$H$11)/설정!$B$61,0))+((F$28)*$C$11*설정!$B$57))</f>
        <v>92485632</v>
      </c>
      <c r="G51" s="67" t="n">
        <f aca="false">($D$11)*MIN(($B$11*$C$11*$H$11)*MAX(1,ROUNDUP(((G$28)*$B$11*설정!$B$57)/설정!$B$61,0))+((G$28)*$B$11*설정!$B$57)+((G$28)*$C$11*설정!$B$57),($B$11*$C$11*$H$11)+((G$28)*$B$11*설정!$B$57)*MAX(1,ROUNDUP(($B$11*$C$11*$H$11)/설정!$B$61,0))+((G$28)*$C$11*설정!$B$57))</f>
        <v>175847424</v>
      </c>
      <c r="H51" s="67" t="n">
        <f aca="false">($D$11)*MIN(($B$11*$C$11*$H$11)*MAX(1,ROUNDUP(((H$28)*$B$11*설정!$B$57)/설정!$B$61,0))+((H$28)*$B$11*설정!$B$57)+((H$28)*$C$11*설정!$B$57),($B$11*$C$11*$H$11)+((H$28)*$B$11*설정!$B$57)*MAX(1,ROUNDUP(($B$11*$C$11*$H$11)/설정!$B$61,0))+((H$28)*$C$11*설정!$B$57))</f>
        <v>342571008</v>
      </c>
      <c r="I51" s="2"/>
    </row>
    <row r="52" customFormat="false" ht="17.15" hidden="false" customHeight="false" outlineLevel="0" collapsed="false">
      <c r="A52" s="30" t="s">
        <v>301</v>
      </c>
      <c r="B52" s="68" t="n">
        <f aca="false">MAX(B50/$I$11,B51/설정!$B$60)*1000</f>
        <v>0.281057882352941</v>
      </c>
      <c r="C52" s="68" t="n">
        <f aca="false">MAX(C50/$I$11,C51/설정!$B$60)*1000</f>
        <v>0.383216941176471</v>
      </c>
      <c r="D52" s="68" t="n">
        <f aca="false">MAX(D50/$I$11,D51/설정!$B$60)*1000</f>
        <v>0.75497472</v>
      </c>
      <c r="E52" s="68" t="n">
        <f aca="false">MAX(E50/$I$11,E51/설정!$B$60)*1000</f>
        <v>1.50994944</v>
      </c>
      <c r="F52" s="68" t="n">
        <f aca="false">MAX(F50/$I$11,F51/설정!$B$60)*1000</f>
        <v>3.01989888</v>
      </c>
      <c r="G52" s="68" t="n">
        <f aca="false">MAX(G50/$I$11,G51/설정!$B$60)*1000</f>
        <v>6.03979776</v>
      </c>
      <c r="H52" s="68" t="n">
        <f aca="false">MAX(H50/$I$11,H51/설정!$B$60)*1000</f>
        <v>12.07959552</v>
      </c>
      <c r="I52" s="2"/>
    </row>
    <row r="53" customFormat="false" ht="17.15" hidden="false" customHeight="false" outlineLevel="0" collapsed="false">
      <c r="A53" s="30" t="s">
        <v>302</v>
      </c>
      <c r="B53" s="67" t="n">
        <f aca="false">($D$12)*2*(B$28)*$B$12*$C$12</f>
        <v>36238786560</v>
      </c>
      <c r="C53" s="67" t="n">
        <f aca="false">($D$12)*2*(C$28)*$B$12*$C$12</f>
        <v>72477573120</v>
      </c>
      <c r="D53" s="67" t="n">
        <f aca="false">($D$12)*2*(D$28)*$B$12*$C$12</f>
        <v>144955146240</v>
      </c>
      <c r="E53" s="67" t="n">
        <f aca="false">($D$12)*2*(E$28)*$B$12*$C$12</f>
        <v>289910292480</v>
      </c>
      <c r="F53" s="67" t="n">
        <f aca="false">($D$12)*2*(F$28)*$B$12*$C$12</f>
        <v>579820584960</v>
      </c>
      <c r="G53" s="67" t="n">
        <f aca="false">($D$12)*2*(G$28)*$B$12*$C$12</f>
        <v>1159641169920</v>
      </c>
      <c r="H53" s="67" t="n">
        <f aca="false">($D$12)*2*(H$28)*$B$12*$C$12</f>
        <v>2319282339840</v>
      </c>
      <c r="I53" s="2"/>
    </row>
    <row r="54" customFormat="false" ht="17.15" hidden="false" customHeight="false" outlineLevel="0" collapsed="false">
      <c r="A54" s="30" t="s">
        <v>303</v>
      </c>
      <c r="B54" s="67" t="n">
        <f aca="false">($D$12)*MIN(($B$12*$C$12*$H$12)*MAX(1,ROUNDUP(((B$28)*$B$12*설정!$B$57)/설정!$B$61,0))+((B$28)*$B$12*설정!$B$57)+((B$28)*$C$12*설정!$B$57),($B$12*$C$12*$H$12)+((B$28)*$B$12*설정!$B$57)*MAX(1,ROUNDUP(($B$12*$C$12*$H$12)/설정!$B$61,0))+((B$28)*$C$12*설정!$B$57))</f>
        <v>83705856</v>
      </c>
      <c r="C54" s="67" t="n">
        <f aca="false">($D$12)*MIN(($B$12*$C$12*$H$12)*MAX(1,ROUNDUP(((C$28)*$B$12*설정!$B$57)/설정!$B$61,0))+((C$28)*$B$12*설정!$B$57)+((C$28)*$C$12*설정!$B$57),($B$12*$C$12*$H$12)+((C$28)*$B$12*설정!$B$57)*MAX(1,ROUNDUP(($B$12*$C$12*$H$12)/설정!$B$61,0))+((C$28)*$C$12*설정!$B$57))</f>
        <v>94420992</v>
      </c>
      <c r="D54" s="67" t="n">
        <f aca="false">($D$12)*MIN(($B$12*$C$12*$H$12)*MAX(1,ROUNDUP(((D$28)*$B$12*설정!$B$57)/설정!$B$61,0))+((D$28)*$B$12*설정!$B$57)+((D$28)*$C$12*설정!$B$57),($B$12*$C$12*$H$12)+((D$28)*$B$12*설정!$B$57)*MAX(1,ROUNDUP(($B$12*$C$12*$H$12)/설정!$B$61,0))+((D$28)*$C$12*설정!$B$57))</f>
        <v>188841984</v>
      </c>
      <c r="E54" s="67" t="n">
        <f aca="false">($D$12)*MIN(($B$12*$C$12*$H$12)*MAX(1,ROUNDUP(((E$28)*$B$12*설정!$B$57)/설정!$B$61,0))+((E$28)*$B$12*설정!$B$57)+((E$28)*$C$12*설정!$B$57),($B$12*$C$12*$H$12)+((E$28)*$B$12*설정!$B$57)*MAX(1,ROUNDUP(($B$12*$C$12*$H$12)/설정!$B$61,0))+((E$28)*$C$12*설정!$B$57))</f>
        <v>304693248</v>
      </c>
      <c r="F54" s="67" t="n">
        <f aca="false">($D$12)*MIN(($B$12*$C$12*$H$12)*MAX(1,ROUNDUP(((F$28)*$B$12*설정!$B$57)/설정!$B$61,0))+((F$28)*$B$12*설정!$B$57)+((F$28)*$C$12*설정!$B$57),($B$12*$C$12*$H$12)+((F$28)*$B$12*설정!$B$57)*MAX(1,ROUNDUP(($B$12*$C$12*$H$12)/설정!$B$61,0))+((F$28)*$C$12*설정!$B$57))</f>
        <v>536395776</v>
      </c>
      <c r="G54" s="67" t="n">
        <f aca="false">($D$12)*MIN(($B$12*$C$12*$H$12)*MAX(1,ROUNDUP(((G$28)*$B$12*설정!$B$57)/설정!$B$61,0))+((G$28)*$B$12*설정!$B$57)+((G$28)*$C$12*설정!$B$57),($B$12*$C$12*$H$12)+((G$28)*$B$12*설정!$B$57)*MAX(1,ROUNDUP(($B$12*$C$12*$H$12)/설정!$B$61,0))+((G$28)*$C$12*설정!$B$57))</f>
        <v>1019854848</v>
      </c>
      <c r="H54" s="67" t="n">
        <f aca="false">($D$12)*MIN(($B$12*$C$12*$H$12)*MAX(1,ROUNDUP(((H$28)*$B$12*설정!$B$57)/설정!$B$61,0))+((H$28)*$B$12*설정!$B$57)+((H$28)*$C$12*설정!$B$57),($B$12*$C$12*$H$12)+((H$28)*$B$12*설정!$B$57)*MAX(1,ROUNDUP(($B$12*$C$12*$H$12)/설정!$B$61,0))+((H$28)*$C$12*설정!$B$57))</f>
        <v>1966718976</v>
      </c>
      <c r="I54" s="2"/>
    </row>
    <row r="55" customFormat="false" ht="17.15" hidden="false" customHeight="false" outlineLevel="0" collapsed="false">
      <c r="A55" s="30" t="s">
        <v>304</v>
      </c>
      <c r="B55" s="68" t="n">
        <f aca="false">MAX(B53/$I$12,B54/설정!$B$60)*1000</f>
        <v>1.64129129411765</v>
      </c>
      <c r="C55" s="68" t="n">
        <f aca="false">MAX(C53/$I$12,C54/설정!$B$60)*1000</f>
        <v>3.01989888</v>
      </c>
      <c r="D55" s="68" t="n">
        <f aca="false">MAX(D53/$I$12,D54/설정!$B$60)*1000</f>
        <v>6.03979776</v>
      </c>
      <c r="E55" s="68" t="n">
        <f aca="false">MAX(E53/$I$12,E54/설정!$B$60)*1000</f>
        <v>12.07959552</v>
      </c>
      <c r="F55" s="68" t="n">
        <f aca="false">MAX(F53/$I$12,F54/설정!$B$60)*1000</f>
        <v>24.15919104</v>
      </c>
      <c r="G55" s="68" t="n">
        <f aca="false">MAX(G53/$I$12,G54/설정!$B$60)*1000</f>
        <v>48.31838208</v>
      </c>
      <c r="H55" s="68" t="n">
        <f aca="false">MAX(H53/$I$12,H54/설정!$B$60)*1000</f>
        <v>96.63676416</v>
      </c>
      <c r="I55" s="2"/>
    </row>
    <row r="56" customFormat="false" ht="17.15" hidden="false" customHeight="false" outlineLevel="0" collapsed="false">
      <c r="A56" s="30" t="s">
        <v>305</v>
      </c>
      <c r="B56" s="67" t="n">
        <f aca="false">($D$13)*2*(B$28)*$B$13*$C$13</f>
        <v>0</v>
      </c>
      <c r="C56" s="67" t="n">
        <f aca="false">($D$13)*2*(C$28)*$B$13*$C$13</f>
        <v>0</v>
      </c>
      <c r="D56" s="67" t="n">
        <f aca="false">($D$13)*2*(D$28)*$B$13*$C$13</f>
        <v>0</v>
      </c>
      <c r="E56" s="67" t="n">
        <f aca="false">($D$13)*2*(E$28)*$B$13*$C$13</f>
        <v>0</v>
      </c>
      <c r="F56" s="67" t="n">
        <f aca="false">($D$13)*2*(F$28)*$B$13*$C$13</f>
        <v>0</v>
      </c>
      <c r="G56" s="67" t="n">
        <f aca="false">($D$13)*2*(G$28)*$B$13*$C$13</f>
        <v>0</v>
      </c>
      <c r="H56" s="67" t="n">
        <f aca="false">($D$13)*2*(H$28)*$B$13*$C$13</f>
        <v>0</v>
      </c>
      <c r="I56" s="2"/>
    </row>
    <row r="57" customFormat="false" ht="17.15" hidden="false" customHeight="false" outlineLevel="0" collapsed="false">
      <c r="A57" s="30" t="s">
        <v>306</v>
      </c>
      <c r="B57" s="67" t="n">
        <f aca="false">($D$13)*MIN(($B$13*$C$13*$H$13)*MAX(1,ROUNDUP(((B$28)*$B$13*설정!$B$57)/설정!$B$61,0))+((B$28)*$B$13*설정!$B$57)+((B$28)*$C$13*설정!$B$57),($B$13*$C$13*$H$13)+((B$28)*$B$13*설정!$B$57)*MAX(1,ROUNDUP(($B$13*$C$13*$H$13)/설정!$B$61,0))+((B$28)*$C$13*설정!$B$57))</f>
        <v>0</v>
      </c>
      <c r="C57" s="67" t="n">
        <f aca="false">($D$13)*MIN(($B$13*$C$13*$H$13)*MAX(1,ROUNDUP(((C$28)*$B$13*설정!$B$57)/설정!$B$61,0))+((C$28)*$B$13*설정!$B$57)+((C$28)*$C$13*설정!$B$57),($B$13*$C$13*$H$13)+((C$28)*$B$13*설정!$B$57)*MAX(1,ROUNDUP(($B$13*$C$13*$H$13)/설정!$B$61,0))+((C$28)*$C$13*설정!$B$57))</f>
        <v>0</v>
      </c>
      <c r="D57" s="67" t="n">
        <f aca="false">($D$13)*MIN(($B$13*$C$13*$H$13)*MAX(1,ROUNDUP(((D$28)*$B$13*설정!$B$57)/설정!$B$61,0))+((D$28)*$B$13*설정!$B$57)+((D$28)*$C$13*설정!$B$57),($B$13*$C$13*$H$13)+((D$28)*$B$13*설정!$B$57)*MAX(1,ROUNDUP(($B$13*$C$13*$H$13)/설정!$B$61,0))+((D$28)*$C$13*설정!$B$57))</f>
        <v>0</v>
      </c>
      <c r="E57" s="67" t="n">
        <f aca="false">($D$13)*MIN(($B$13*$C$13*$H$13)*MAX(1,ROUNDUP(((E$28)*$B$13*설정!$B$57)/설정!$B$61,0))+((E$28)*$B$13*설정!$B$57)+((E$28)*$C$13*설정!$B$57),($B$13*$C$13*$H$13)+((E$28)*$B$13*설정!$B$57)*MAX(1,ROUNDUP(($B$13*$C$13*$H$13)/설정!$B$61,0))+((E$28)*$C$13*설정!$B$57))</f>
        <v>0</v>
      </c>
      <c r="F57" s="67" t="n">
        <f aca="false">($D$13)*MIN(($B$13*$C$13*$H$13)*MAX(1,ROUNDUP(((F$28)*$B$13*설정!$B$57)/설정!$B$61,0))+((F$28)*$B$13*설정!$B$57)+((F$28)*$C$13*설정!$B$57),($B$13*$C$13*$H$13)+((F$28)*$B$13*설정!$B$57)*MAX(1,ROUNDUP(($B$13*$C$13*$H$13)/설정!$B$61,0))+((F$28)*$C$13*설정!$B$57))</f>
        <v>0</v>
      </c>
      <c r="G57" s="67" t="n">
        <f aca="false">($D$13)*MIN(($B$13*$C$13*$H$13)*MAX(1,ROUNDUP(((G$28)*$B$13*설정!$B$57)/설정!$B$61,0))+((G$28)*$B$13*설정!$B$57)+((G$28)*$C$13*설정!$B$57),($B$13*$C$13*$H$13)+((G$28)*$B$13*설정!$B$57)*MAX(1,ROUNDUP(($B$13*$C$13*$H$13)/설정!$B$61,0))+((G$28)*$C$13*설정!$B$57))</f>
        <v>0</v>
      </c>
      <c r="H57" s="67" t="n">
        <f aca="false">($D$13)*MIN(($B$13*$C$13*$H$13)*MAX(1,ROUNDUP(((H$28)*$B$13*설정!$B$57)/설정!$B$61,0))+((H$28)*$B$13*설정!$B$57)+((H$28)*$C$13*설정!$B$57),($B$13*$C$13*$H$13)+((H$28)*$B$13*설정!$B$57)*MAX(1,ROUNDUP(($B$13*$C$13*$H$13)/설정!$B$61,0))+((H$28)*$C$13*설정!$B$57))</f>
        <v>0</v>
      </c>
      <c r="I57" s="2"/>
    </row>
    <row r="58" customFormat="false" ht="17.15" hidden="false" customHeight="false" outlineLevel="0" collapsed="false">
      <c r="A58" s="30" t="s">
        <v>307</v>
      </c>
      <c r="B58" s="68" t="n">
        <f aca="false">MAX(B56/$I$13,B57/설정!$B$60)*1000</f>
        <v>0</v>
      </c>
      <c r="C58" s="68" t="n">
        <f aca="false">MAX(C56/$I$13,C57/설정!$B$60)*1000</f>
        <v>0</v>
      </c>
      <c r="D58" s="68" t="n">
        <f aca="false">MAX(D56/$I$13,D57/설정!$B$60)*1000</f>
        <v>0</v>
      </c>
      <c r="E58" s="68" t="n">
        <f aca="false">MAX(E56/$I$13,E57/설정!$B$60)*1000</f>
        <v>0</v>
      </c>
      <c r="F58" s="68" t="n">
        <f aca="false">MAX(F56/$I$13,F57/설정!$B$60)*1000</f>
        <v>0</v>
      </c>
      <c r="G58" s="68" t="n">
        <f aca="false">MAX(G56/$I$13,G57/설정!$B$60)*1000</f>
        <v>0</v>
      </c>
      <c r="H58" s="68" t="n">
        <f aca="false">MAX(H56/$I$13,H57/설정!$B$60)*1000</f>
        <v>0</v>
      </c>
      <c r="I58" s="2"/>
    </row>
    <row r="59" customFormat="false" ht="17.15" hidden="false" customHeight="false" outlineLevel="0" collapsed="false">
      <c r="A59" s="30" t="s">
        <v>308</v>
      </c>
      <c r="B59" s="67" t="n">
        <f aca="false">($D$14)*2*(B$28)*$B$14*$C$14</f>
        <v>0</v>
      </c>
      <c r="C59" s="67" t="n">
        <f aca="false">($D$14)*2*(C$28)*$B$14*$C$14</f>
        <v>0</v>
      </c>
      <c r="D59" s="67" t="n">
        <f aca="false">($D$14)*2*(D$28)*$B$14*$C$14</f>
        <v>0</v>
      </c>
      <c r="E59" s="67" t="n">
        <f aca="false">($D$14)*2*(E$28)*$B$14*$C$14</f>
        <v>0</v>
      </c>
      <c r="F59" s="67" t="n">
        <f aca="false">($D$14)*2*(F$28)*$B$14*$C$14</f>
        <v>0</v>
      </c>
      <c r="G59" s="67" t="n">
        <f aca="false">($D$14)*2*(G$28)*$B$14*$C$14</f>
        <v>0</v>
      </c>
      <c r="H59" s="67" t="n">
        <f aca="false">($D$14)*2*(H$28)*$B$14*$C$14</f>
        <v>0</v>
      </c>
      <c r="I59" s="2"/>
    </row>
    <row r="60" customFormat="false" ht="17.15" hidden="false" customHeight="false" outlineLevel="0" collapsed="false">
      <c r="A60" s="30" t="s">
        <v>309</v>
      </c>
      <c r="B60" s="67" t="n">
        <f aca="false">($D$14)*MIN(($B$14*$C$14*$H$14)*MAX(1,ROUNDUP(((B$28)*$B$14*설정!$B$57)/설정!$B$61,0))+((B$28)*$B$14*설정!$B$57)+((B$28)*$C$14*설정!$B$57),($B$14*$C$14*$H$14)+((B$28)*$B$14*설정!$B$57)*MAX(1,ROUNDUP(($B$14*$C$14*$H$14)/설정!$B$61,0))+((B$28)*$C$14*설정!$B$57))</f>
        <v>0</v>
      </c>
      <c r="C60" s="67" t="n">
        <f aca="false">($D$14)*MIN(($B$14*$C$14*$H$14)*MAX(1,ROUNDUP(((C$28)*$B$14*설정!$B$57)/설정!$B$61,0))+((C$28)*$B$14*설정!$B$57)+((C$28)*$C$14*설정!$B$57),($B$14*$C$14*$H$14)+((C$28)*$B$14*설정!$B$57)*MAX(1,ROUNDUP(($B$14*$C$14*$H$14)/설정!$B$61,0))+((C$28)*$C$14*설정!$B$57))</f>
        <v>0</v>
      </c>
      <c r="D60" s="67" t="n">
        <f aca="false">($D$14)*MIN(($B$14*$C$14*$H$14)*MAX(1,ROUNDUP(((D$28)*$B$14*설정!$B$57)/설정!$B$61,0))+((D$28)*$B$14*설정!$B$57)+((D$28)*$C$14*설정!$B$57),($B$14*$C$14*$H$14)+((D$28)*$B$14*설정!$B$57)*MAX(1,ROUNDUP(($B$14*$C$14*$H$14)/설정!$B$61,0))+((D$28)*$C$14*설정!$B$57))</f>
        <v>0</v>
      </c>
      <c r="E60" s="67" t="n">
        <f aca="false">($D$14)*MIN(($B$14*$C$14*$H$14)*MAX(1,ROUNDUP(((E$28)*$B$14*설정!$B$57)/설정!$B$61,0))+((E$28)*$B$14*설정!$B$57)+((E$28)*$C$14*설정!$B$57),($B$14*$C$14*$H$14)+((E$28)*$B$14*설정!$B$57)*MAX(1,ROUNDUP(($B$14*$C$14*$H$14)/설정!$B$61,0))+((E$28)*$C$14*설정!$B$57))</f>
        <v>0</v>
      </c>
      <c r="F60" s="67" t="n">
        <f aca="false">($D$14)*MIN(($B$14*$C$14*$H$14)*MAX(1,ROUNDUP(((F$28)*$B$14*설정!$B$57)/설정!$B$61,0))+((F$28)*$B$14*설정!$B$57)+((F$28)*$C$14*설정!$B$57),($B$14*$C$14*$H$14)+((F$28)*$B$14*설정!$B$57)*MAX(1,ROUNDUP(($B$14*$C$14*$H$14)/설정!$B$61,0))+((F$28)*$C$14*설정!$B$57))</f>
        <v>0</v>
      </c>
      <c r="G60" s="67" t="n">
        <f aca="false">($D$14)*MIN(($B$14*$C$14*$H$14)*MAX(1,ROUNDUP(((G$28)*$B$14*설정!$B$57)/설정!$B$61,0))+((G$28)*$B$14*설정!$B$57)+((G$28)*$C$14*설정!$B$57),($B$14*$C$14*$H$14)+((G$28)*$B$14*설정!$B$57)*MAX(1,ROUNDUP(($B$14*$C$14*$H$14)/설정!$B$61,0))+((G$28)*$C$14*설정!$B$57))</f>
        <v>0</v>
      </c>
      <c r="H60" s="67" t="n">
        <f aca="false">($D$14)*MIN(($B$14*$C$14*$H$14)*MAX(1,ROUNDUP(((H$28)*$B$14*설정!$B$57)/설정!$B$61,0))+((H$28)*$B$14*설정!$B$57)+((H$28)*$C$14*설정!$B$57),($B$14*$C$14*$H$14)+((H$28)*$B$14*설정!$B$57)*MAX(1,ROUNDUP(($B$14*$C$14*$H$14)/설정!$B$61,0))+((H$28)*$C$14*설정!$B$57))</f>
        <v>0</v>
      </c>
      <c r="I60" s="2"/>
    </row>
    <row r="61" customFormat="false" ht="17.15" hidden="false" customHeight="false" outlineLevel="0" collapsed="false">
      <c r="A61" s="30" t="s">
        <v>310</v>
      </c>
      <c r="B61" s="68" t="n">
        <f aca="false">MAX(B59/$I$14,B60/설정!$B$60)*1000</f>
        <v>0</v>
      </c>
      <c r="C61" s="68" t="n">
        <f aca="false">MAX(C59/$I$14,C60/설정!$B$60)*1000</f>
        <v>0</v>
      </c>
      <c r="D61" s="68" t="n">
        <f aca="false">MAX(D59/$I$14,D60/설정!$B$60)*1000</f>
        <v>0</v>
      </c>
      <c r="E61" s="68" t="n">
        <f aca="false">MAX(E59/$I$14,E60/설정!$B$60)*1000</f>
        <v>0</v>
      </c>
      <c r="F61" s="68" t="n">
        <f aca="false">MAX(F59/$I$14,F60/설정!$B$60)*1000</f>
        <v>0</v>
      </c>
      <c r="G61" s="68" t="n">
        <f aca="false">MAX(G59/$I$14,G60/설정!$B$60)*1000</f>
        <v>0</v>
      </c>
      <c r="H61" s="68" t="n">
        <f aca="false">MAX(H59/$I$14,H60/설정!$B$60)*1000</f>
        <v>0</v>
      </c>
      <c r="I61" s="2"/>
    </row>
    <row r="62" customFormat="false" ht="17.15" hidden="false" customHeight="false" outlineLevel="0" collapsed="false">
      <c r="A62" s="30" t="s">
        <v>311</v>
      </c>
      <c r="B62" s="67" t="n">
        <f aca="false">($D$15)*2*(B$28)*$B$15*$C$15</f>
        <v>0</v>
      </c>
      <c r="C62" s="67" t="n">
        <f aca="false">($D$15)*2*(C$28)*$B$15*$C$15</f>
        <v>0</v>
      </c>
      <c r="D62" s="67" t="n">
        <f aca="false">($D$15)*2*(D$28)*$B$15*$C$15</f>
        <v>0</v>
      </c>
      <c r="E62" s="67" t="n">
        <f aca="false">($D$15)*2*(E$28)*$B$15*$C$15</f>
        <v>0</v>
      </c>
      <c r="F62" s="67" t="n">
        <f aca="false">($D$15)*2*(F$28)*$B$15*$C$15</f>
        <v>0</v>
      </c>
      <c r="G62" s="67" t="n">
        <f aca="false">($D$15)*2*(G$28)*$B$15*$C$15</f>
        <v>0</v>
      </c>
      <c r="H62" s="67" t="n">
        <f aca="false">($D$15)*2*(H$28)*$B$15*$C$15</f>
        <v>0</v>
      </c>
      <c r="I62" s="2"/>
    </row>
    <row r="63" customFormat="false" ht="17.15" hidden="false" customHeight="false" outlineLevel="0" collapsed="false">
      <c r="A63" s="30" t="s">
        <v>312</v>
      </c>
      <c r="B63" s="67" t="n">
        <f aca="false">($D$15)*MIN(($B$15*$C$15*$H$15)*MAX(1,ROUNDUP(((B$28)*$B$15*설정!$B$57)/설정!$B$61,0))+((B$28)*$B$15*설정!$B$57)+((B$28)*$C$15*설정!$B$57),($B$15*$C$15*$H$15)+((B$28)*$B$15*설정!$B$57)*MAX(1,ROUNDUP(($B$15*$C$15*$H$15)/설정!$B$61,0))+((B$28)*$C$15*설정!$B$57))</f>
        <v>0</v>
      </c>
      <c r="C63" s="67" t="n">
        <f aca="false">($D$15)*MIN(($B$15*$C$15*$H$15)*MAX(1,ROUNDUP(((C$28)*$B$15*설정!$B$57)/설정!$B$61,0))+((C$28)*$B$15*설정!$B$57)+((C$28)*$C$15*설정!$B$57),($B$15*$C$15*$H$15)+((C$28)*$B$15*설정!$B$57)*MAX(1,ROUNDUP(($B$15*$C$15*$H$15)/설정!$B$61,0))+((C$28)*$C$15*설정!$B$57))</f>
        <v>0</v>
      </c>
      <c r="D63" s="67" t="n">
        <f aca="false">($D$15)*MIN(($B$15*$C$15*$H$15)*MAX(1,ROUNDUP(((D$28)*$B$15*설정!$B$57)/설정!$B$61,0))+((D$28)*$B$15*설정!$B$57)+((D$28)*$C$15*설정!$B$57),($B$15*$C$15*$H$15)+((D$28)*$B$15*설정!$B$57)*MAX(1,ROUNDUP(($B$15*$C$15*$H$15)/설정!$B$61,0))+((D$28)*$C$15*설정!$B$57))</f>
        <v>0</v>
      </c>
      <c r="E63" s="67" t="n">
        <f aca="false">($D$15)*MIN(($B$15*$C$15*$H$15)*MAX(1,ROUNDUP(((E$28)*$B$15*설정!$B$57)/설정!$B$61,0))+((E$28)*$B$15*설정!$B$57)+((E$28)*$C$15*설정!$B$57),($B$15*$C$15*$H$15)+((E$28)*$B$15*설정!$B$57)*MAX(1,ROUNDUP(($B$15*$C$15*$H$15)/설정!$B$61,0))+((E$28)*$C$15*설정!$B$57))</f>
        <v>0</v>
      </c>
      <c r="F63" s="67" t="n">
        <f aca="false">($D$15)*MIN(($B$15*$C$15*$H$15)*MAX(1,ROUNDUP(((F$28)*$B$15*설정!$B$57)/설정!$B$61,0))+((F$28)*$B$15*설정!$B$57)+((F$28)*$C$15*설정!$B$57),($B$15*$C$15*$H$15)+((F$28)*$B$15*설정!$B$57)*MAX(1,ROUNDUP(($B$15*$C$15*$H$15)/설정!$B$61,0))+((F$28)*$C$15*설정!$B$57))</f>
        <v>0</v>
      </c>
      <c r="G63" s="67" t="n">
        <f aca="false">($D$15)*MIN(($B$15*$C$15*$H$15)*MAX(1,ROUNDUP(((G$28)*$B$15*설정!$B$57)/설정!$B$61,0))+((G$28)*$B$15*설정!$B$57)+((G$28)*$C$15*설정!$B$57),($B$15*$C$15*$H$15)+((G$28)*$B$15*설정!$B$57)*MAX(1,ROUNDUP(($B$15*$C$15*$H$15)/설정!$B$61,0))+((G$28)*$C$15*설정!$B$57))</f>
        <v>0</v>
      </c>
      <c r="H63" s="67" t="n">
        <f aca="false">($D$15)*MIN(($B$15*$C$15*$H$15)*MAX(1,ROUNDUP(((H$28)*$B$15*설정!$B$57)/설정!$B$61,0))+((H$28)*$B$15*설정!$B$57)+((H$28)*$C$15*설정!$B$57),($B$15*$C$15*$H$15)+((H$28)*$B$15*설정!$B$57)*MAX(1,ROUNDUP(($B$15*$C$15*$H$15)/설정!$B$61,0))+((H$28)*$C$15*설정!$B$57))</f>
        <v>0</v>
      </c>
      <c r="I63" s="2"/>
    </row>
    <row r="64" customFormat="false" ht="17.15" hidden="false" customHeight="false" outlineLevel="0" collapsed="false">
      <c r="A64" s="30" t="s">
        <v>313</v>
      </c>
      <c r="B64" s="68" t="n">
        <f aca="false">MAX(B62/$I$15,B63/설정!$B$60)*1000</f>
        <v>0</v>
      </c>
      <c r="C64" s="68" t="n">
        <f aca="false">MAX(C62/$I$15,C63/설정!$B$60)*1000</f>
        <v>0</v>
      </c>
      <c r="D64" s="68" t="n">
        <f aca="false">MAX(D62/$I$15,D63/설정!$B$60)*1000</f>
        <v>0</v>
      </c>
      <c r="E64" s="68" t="n">
        <f aca="false">MAX(E62/$I$15,E63/설정!$B$60)*1000</f>
        <v>0</v>
      </c>
      <c r="F64" s="68" t="n">
        <f aca="false">MAX(F62/$I$15,F63/설정!$B$60)*1000</f>
        <v>0</v>
      </c>
      <c r="G64" s="68" t="n">
        <f aca="false">MAX(G62/$I$15,G63/설정!$B$60)*1000</f>
        <v>0</v>
      </c>
      <c r="H64" s="68" t="n">
        <f aca="false">MAX(H62/$I$15,H63/설정!$B$60)*1000</f>
        <v>0</v>
      </c>
      <c r="I64" s="2"/>
    </row>
    <row r="65" customFormat="false" ht="17.15" hidden="false" customHeight="false" outlineLevel="0" collapsed="false">
      <c r="A65" s="30" t="s">
        <v>314</v>
      </c>
      <c r="B65" s="67" t="n">
        <f aca="false">($D$16)*2*(B$28)*$B$16*$C$16</f>
        <v>0</v>
      </c>
      <c r="C65" s="67" t="n">
        <f aca="false">($D$16)*2*(C$28)*$B$16*$C$16</f>
        <v>0</v>
      </c>
      <c r="D65" s="67" t="n">
        <f aca="false">($D$16)*2*(D$28)*$B$16*$C$16</f>
        <v>0</v>
      </c>
      <c r="E65" s="67" t="n">
        <f aca="false">($D$16)*2*(E$28)*$B$16*$C$16</f>
        <v>0</v>
      </c>
      <c r="F65" s="67" t="n">
        <f aca="false">($D$16)*2*(F$28)*$B$16*$C$16</f>
        <v>0</v>
      </c>
      <c r="G65" s="67" t="n">
        <f aca="false">($D$16)*2*(G$28)*$B$16*$C$16</f>
        <v>0</v>
      </c>
      <c r="H65" s="67" t="n">
        <f aca="false">($D$16)*2*(H$28)*$B$16*$C$16</f>
        <v>0</v>
      </c>
      <c r="I65" s="2"/>
    </row>
    <row r="66" customFormat="false" ht="17.15" hidden="false" customHeight="false" outlineLevel="0" collapsed="false">
      <c r="A66" s="30" t="s">
        <v>315</v>
      </c>
      <c r="B66" s="67" t="n">
        <f aca="false">($D$16)*MIN(($B$16*$C$16*$H$16)*MAX(1,ROUNDUP(((B$28)*$B$16*설정!$B$57)/설정!$B$61,0))+((B$28)*$B$16*설정!$B$57)+((B$28)*$C$16*설정!$B$57),($B$16*$C$16*$H$16)+((B$28)*$B$16*설정!$B$57)*MAX(1,ROUNDUP(($B$16*$C$16*$H$16)/설정!$B$61,0))+((B$28)*$C$16*설정!$B$57))</f>
        <v>0</v>
      </c>
      <c r="C66" s="67" t="n">
        <f aca="false">($D$16)*MIN(($B$16*$C$16*$H$16)*MAX(1,ROUNDUP(((C$28)*$B$16*설정!$B$57)/설정!$B$61,0))+((C$28)*$B$16*설정!$B$57)+((C$28)*$C$16*설정!$B$57),($B$16*$C$16*$H$16)+((C$28)*$B$16*설정!$B$57)*MAX(1,ROUNDUP(($B$16*$C$16*$H$16)/설정!$B$61,0))+((C$28)*$C$16*설정!$B$57))</f>
        <v>0</v>
      </c>
      <c r="D66" s="67" t="n">
        <f aca="false">($D$16)*MIN(($B$16*$C$16*$H$16)*MAX(1,ROUNDUP(((D$28)*$B$16*설정!$B$57)/설정!$B$61,0))+((D$28)*$B$16*설정!$B$57)+((D$28)*$C$16*설정!$B$57),($B$16*$C$16*$H$16)+((D$28)*$B$16*설정!$B$57)*MAX(1,ROUNDUP(($B$16*$C$16*$H$16)/설정!$B$61,0))+((D$28)*$C$16*설정!$B$57))</f>
        <v>0</v>
      </c>
      <c r="E66" s="67" t="n">
        <f aca="false">($D$16)*MIN(($B$16*$C$16*$H$16)*MAX(1,ROUNDUP(((E$28)*$B$16*설정!$B$57)/설정!$B$61,0))+((E$28)*$B$16*설정!$B$57)+((E$28)*$C$16*설정!$B$57),($B$16*$C$16*$H$16)+((E$28)*$B$16*설정!$B$57)*MAX(1,ROUNDUP(($B$16*$C$16*$H$16)/설정!$B$61,0))+((E$28)*$C$16*설정!$B$57))</f>
        <v>0</v>
      </c>
      <c r="F66" s="67" t="n">
        <f aca="false">($D$16)*MIN(($B$16*$C$16*$H$16)*MAX(1,ROUNDUP(((F$28)*$B$16*설정!$B$57)/설정!$B$61,0))+((F$28)*$B$16*설정!$B$57)+((F$28)*$C$16*설정!$B$57),($B$16*$C$16*$H$16)+((F$28)*$B$16*설정!$B$57)*MAX(1,ROUNDUP(($B$16*$C$16*$H$16)/설정!$B$61,0))+((F$28)*$C$16*설정!$B$57))</f>
        <v>0</v>
      </c>
      <c r="G66" s="67" t="n">
        <f aca="false">($D$16)*MIN(($B$16*$C$16*$H$16)*MAX(1,ROUNDUP(((G$28)*$B$16*설정!$B$57)/설정!$B$61,0))+((G$28)*$B$16*설정!$B$57)+((G$28)*$C$16*설정!$B$57),($B$16*$C$16*$H$16)+((G$28)*$B$16*설정!$B$57)*MAX(1,ROUNDUP(($B$16*$C$16*$H$16)/설정!$B$61,0))+((G$28)*$C$16*설정!$B$57))</f>
        <v>0</v>
      </c>
      <c r="H66" s="67" t="n">
        <f aca="false">($D$16)*MIN(($B$16*$C$16*$H$16)*MAX(1,ROUNDUP(((H$28)*$B$16*설정!$B$57)/설정!$B$61,0))+((H$28)*$B$16*설정!$B$57)+((H$28)*$C$16*설정!$B$57),($B$16*$C$16*$H$16)+((H$28)*$B$16*설정!$B$57)*MAX(1,ROUNDUP(($B$16*$C$16*$H$16)/설정!$B$61,0))+((H$28)*$C$16*설정!$B$57))</f>
        <v>0</v>
      </c>
      <c r="I66" s="2"/>
    </row>
    <row r="67" customFormat="false" ht="17.15" hidden="false" customHeight="false" outlineLevel="0" collapsed="false">
      <c r="A67" s="30" t="s">
        <v>316</v>
      </c>
      <c r="B67" s="68" t="n">
        <f aca="false">MAX(B65/$I$16,B66/설정!$B$60)*1000</f>
        <v>0</v>
      </c>
      <c r="C67" s="68" t="n">
        <f aca="false">MAX(C65/$I$16,C66/설정!$B$60)*1000</f>
        <v>0</v>
      </c>
      <c r="D67" s="68" t="n">
        <f aca="false">MAX(D65/$I$16,D66/설정!$B$60)*1000</f>
        <v>0</v>
      </c>
      <c r="E67" s="68" t="n">
        <f aca="false">MAX(E65/$I$16,E66/설정!$B$60)*1000</f>
        <v>0</v>
      </c>
      <c r="F67" s="68" t="n">
        <f aca="false">MAX(F65/$I$16,F66/설정!$B$60)*1000</f>
        <v>0</v>
      </c>
      <c r="G67" s="68" t="n">
        <f aca="false">MAX(G65/$I$16,G66/설정!$B$60)*1000</f>
        <v>0</v>
      </c>
      <c r="H67" s="68" t="n">
        <f aca="false">MAX(H65/$I$16,H66/설정!$B$60)*1000</f>
        <v>0</v>
      </c>
      <c r="I67" s="2"/>
    </row>
    <row r="68" customFormat="false" ht="17.15" hidden="false" customHeight="false" outlineLevel="0" collapsed="false">
      <c r="A68" s="30" t="s">
        <v>317</v>
      </c>
      <c r="B68" s="67" t="n">
        <f aca="false">($D$17)*2*(B$28)*$B$17*$C$17</f>
        <v>566231040</v>
      </c>
      <c r="C68" s="67" t="n">
        <f aca="false">($D$17)*2*(C$28)*$B$17*$C$17</f>
        <v>1132462080</v>
      </c>
      <c r="D68" s="67" t="n">
        <f aca="false">($D$17)*2*(D$28)*$B$17*$C$17</f>
        <v>2264924160</v>
      </c>
      <c r="E68" s="67" t="n">
        <f aca="false">($D$17)*2*(E$28)*$B$17*$C$17</f>
        <v>4529848320</v>
      </c>
      <c r="F68" s="67" t="n">
        <f aca="false">($D$17)*2*(F$28)*$B$17*$C$17</f>
        <v>9059696640</v>
      </c>
      <c r="G68" s="67" t="n">
        <f aca="false">($D$17)*2*(G$28)*$B$17*$C$17</f>
        <v>18119393280</v>
      </c>
      <c r="H68" s="67" t="n">
        <f aca="false">($D$17)*2*(H$28)*$B$17*$C$17</f>
        <v>36238786560</v>
      </c>
      <c r="I68" s="2"/>
    </row>
    <row r="69" customFormat="false" ht="17.15" hidden="false" customHeight="false" outlineLevel="0" collapsed="false">
      <c r="A69" s="30" t="s">
        <v>318</v>
      </c>
      <c r="B69" s="67" t="n">
        <f aca="false">($D$17)*MIN(($B$17*$C$17*$H$17)*MAX(1,ROUNDUP(((B$28)*$B$17*설정!$B$57)/설정!$B$61,0))+((B$28)*$B$17*설정!$B$57)+((B$28)*$C$17*설정!$B$57),($B$17*$C$17*$H$17)+((B$28)*$B$17*설정!$B$57)*MAX(1,ROUNDUP(($B$17*$C$17*$H$17)/설정!$B$61,0))+((B$28)*$C$17*설정!$B$57))</f>
        <v>11192064</v>
      </c>
      <c r="C69" s="67" t="n">
        <f aca="false">($D$17)*MIN(($B$17*$C$17*$H$17)*MAX(1,ROUNDUP(((C$28)*$B$17*설정!$B$57)/설정!$B$61,0))+((C$28)*$B$17*설정!$B$57)+((C$28)*$C$17*설정!$B$57),($B$17*$C$17*$H$17)+((C$28)*$B$17*설정!$B$57)*MAX(1,ROUNDUP(($B$17*$C$17*$H$17)/설정!$B$61,0))+((C$28)*$C$17*설정!$B$57))</f>
        <v>20137728</v>
      </c>
      <c r="D69" s="67" t="n">
        <f aca="false">($D$17)*MIN(($B$17*$C$17*$H$17)*MAX(1,ROUNDUP(((D$28)*$B$17*설정!$B$57)/설정!$B$61,0))+((D$28)*$B$17*설정!$B$57)+((D$28)*$C$17*설정!$B$57),($B$17*$C$17*$H$17)+((D$28)*$B$17*설정!$B$57)*MAX(1,ROUNDUP(($B$17*$C$17*$H$17)/설정!$B$61,0))+((D$28)*$C$17*설정!$B$57))</f>
        <v>38029056</v>
      </c>
      <c r="E69" s="67" t="n">
        <f aca="false">($D$17)*MIN(($B$17*$C$17*$H$17)*MAX(1,ROUNDUP(((E$28)*$B$17*설정!$B$57)/설정!$B$61,0))+((E$28)*$B$17*설정!$B$57)+((E$28)*$C$17*설정!$B$57),($B$17*$C$17*$H$17)+((E$28)*$B$17*설정!$B$57)*MAX(1,ROUNDUP(($B$17*$C$17*$H$17)/설정!$B$61,0))+((E$28)*$C$17*설정!$B$57))</f>
        <v>73811712</v>
      </c>
      <c r="F69" s="67" t="n">
        <f aca="false">($D$17)*MIN(($B$17*$C$17*$H$17)*MAX(1,ROUNDUP(((F$28)*$B$17*설정!$B$57)/설정!$B$61,0))+((F$28)*$B$17*설정!$B$57)+((F$28)*$C$17*설정!$B$57),($B$17*$C$17*$H$17)+((F$28)*$B$17*설정!$B$57)*MAX(1,ROUNDUP(($B$17*$C$17*$H$17)/설정!$B$61,0))+((F$28)*$C$17*설정!$B$57))</f>
        <v>145377024</v>
      </c>
      <c r="G69" s="67" t="n">
        <f aca="false">($D$17)*MIN(($B$17*$C$17*$H$17)*MAX(1,ROUNDUP(((G$28)*$B$17*설정!$B$57)/설정!$B$61,0))+((G$28)*$B$17*설정!$B$57)+((G$28)*$C$17*설정!$B$57),($B$17*$C$17*$H$17)+((G$28)*$B$17*설정!$B$57)*MAX(1,ROUNDUP(($B$17*$C$17*$H$17)/설정!$B$61,0))+((G$28)*$C$17*설정!$B$57))</f>
        <v>288507648</v>
      </c>
      <c r="H69" s="67" t="n">
        <f aca="false">($D$17)*MIN(($B$17*$C$17*$H$17)*MAX(1,ROUNDUP(((H$28)*$B$17*설정!$B$57)/설정!$B$61,0))+((H$28)*$B$17*설정!$B$57)+((H$28)*$C$17*설정!$B$57),($B$17*$C$17*$H$17)+((H$28)*$B$17*설정!$B$57)*MAX(1,ROUNDUP(($B$17*$C$17*$H$17)/설정!$B$61,0))+((H$28)*$C$17*설정!$B$57))</f>
        <v>574768896</v>
      </c>
      <c r="I69" s="2"/>
    </row>
    <row r="70" customFormat="false" ht="17.15" hidden="false" customHeight="false" outlineLevel="0" collapsed="false">
      <c r="A70" s="30" t="s">
        <v>319</v>
      </c>
      <c r="B70" s="68" t="n">
        <f aca="false">MAX(B68/$I$17,B69/설정!$B$60)*1000</f>
        <v>0.219452235294118</v>
      </c>
      <c r="C70" s="68" t="n">
        <f aca="false">MAX(C68/$I$17,C69/설정!$B$60)*1000</f>
        <v>0.394857411764706</v>
      </c>
      <c r="D70" s="68" t="n">
        <f aca="false">MAX(D68/$I$17,D69/설정!$B$60)*1000</f>
        <v>0.745667764705882</v>
      </c>
      <c r="E70" s="68" t="n">
        <f aca="false">MAX(E68/$I$17,E69/설정!$B$60)*1000</f>
        <v>1.44728847058824</v>
      </c>
      <c r="F70" s="68" t="n">
        <f aca="false">MAX(F68/$I$17,F69/설정!$B$60)*1000</f>
        <v>2.85052988235294</v>
      </c>
      <c r="G70" s="68" t="n">
        <f aca="false">MAX(G68/$I$17,G69/설정!$B$60)*1000</f>
        <v>5.65701270588235</v>
      </c>
      <c r="H70" s="68" t="n">
        <f aca="false">MAX(H68/$I$17,H69/설정!$B$60)*1000</f>
        <v>11.2699783529412</v>
      </c>
      <c r="I70" s="2"/>
    </row>
    <row r="71" customFormat="false" ht="17.15" hidden="false" customHeight="false" outlineLevel="0" collapsed="false">
      <c r="A71" s="30" t="s">
        <v>320</v>
      </c>
      <c r="B71" s="67" t="n">
        <f aca="false">($D$18)*2*(B$28)*$B$18*$C$18</f>
        <v>0</v>
      </c>
      <c r="C71" s="67" t="n">
        <f aca="false">($D$18)*2*(C$28)*$B$18*$C$18</f>
        <v>0</v>
      </c>
      <c r="D71" s="67" t="n">
        <f aca="false">($D$18)*2*(D$28)*$B$18*$C$18</f>
        <v>0</v>
      </c>
      <c r="E71" s="67" t="n">
        <f aca="false">($D$18)*2*(E$28)*$B$18*$C$18</f>
        <v>0</v>
      </c>
      <c r="F71" s="67" t="n">
        <f aca="false">($D$18)*2*(F$28)*$B$18*$C$18</f>
        <v>0</v>
      </c>
      <c r="G71" s="67" t="n">
        <f aca="false">($D$18)*2*(G$28)*$B$18*$C$18</f>
        <v>0</v>
      </c>
      <c r="H71" s="67" t="n">
        <f aca="false">($D$18)*2*(H$28)*$B$18*$C$18</f>
        <v>0</v>
      </c>
      <c r="I71" s="2"/>
    </row>
    <row r="72" customFormat="false" ht="17.15" hidden="false" customHeight="false" outlineLevel="0" collapsed="false">
      <c r="A72" s="30" t="s">
        <v>321</v>
      </c>
      <c r="B72" s="67" t="n">
        <f aca="false">($D$18)*MIN(($B$18*$C$18*$H$18)*MAX(1,ROUNDUP(((B$28)*$B$18*설정!$B$57)/설정!$B$61,0))+((B$28)*$B$18*설정!$B$57)+((B$28)*$C$18*설정!$B$57),($B$18*$C$18*$H$18)+((B$28)*$B$18*설정!$B$57)*MAX(1,ROUNDUP(($B$18*$C$18*$H$18)/설정!$B$61,0))+((B$28)*$C$18*설정!$B$57))</f>
        <v>0</v>
      </c>
      <c r="C72" s="67" t="n">
        <f aca="false">($D$18)*MIN(($B$18*$C$18*$H$18)*MAX(1,ROUNDUP(((C$28)*$B$18*설정!$B$57)/설정!$B$61,0))+((C$28)*$B$18*설정!$B$57)+((C$28)*$C$18*설정!$B$57),($B$18*$C$18*$H$18)+((C$28)*$B$18*설정!$B$57)*MAX(1,ROUNDUP(($B$18*$C$18*$H$18)/설정!$B$61,0))+((C$28)*$C$18*설정!$B$57))</f>
        <v>0</v>
      </c>
      <c r="D72" s="67" t="n">
        <f aca="false">($D$18)*MIN(($B$18*$C$18*$H$18)*MAX(1,ROUNDUP(((D$28)*$B$18*설정!$B$57)/설정!$B$61,0))+((D$28)*$B$18*설정!$B$57)+((D$28)*$C$18*설정!$B$57),($B$18*$C$18*$H$18)+((D$28)*$B$18*설정!$B$57)*MAX(1,ROUNDUP(($B$18*$C$18*$H$18)/설정!$B$61,0))+((D$28)*$C$18*설정!$B$57))</f>
        <v>0</v>
      </c>
      <c r="E72" s="67" t="n">
        <f aca="false">($D$18)*MIN(($B$18*$C$18*$H$18)*MAX(1,ROUNDUP(((E$28)*$B$18*설정!$B$57)/설정!$B$61,0))+((E$28)*$B$18*설정!$B$57)+((E$28)*$C$18*설정!$B$57),($B$18*$C$18*$H$18)+((E$28)*$B$18*설정!$B$57)*MAX(1,ROUNDUP(($B$18*$C$18*$H$18)/설정!$B$61,0))+((E$28)*$C$18*설정!$B$57))</f>
        <v>0</v>
      </c>
      <c r="F72" s="67" t="n">
        <f aca="false">($D$18)*MIN(($B$18*$C$18*$H$18)*MAX(1,ROUNDUP(((F$28)*$B$18*설정!$B$57)/설정!$B$61,0))+((F$28)*$B$18*설정!$B$57)+((F$28)*$C$18*설정!$B$57),($B$18*$C$18*$H$18)+((F$28)*$B$18*설정!$B$57)*MAX(1,ROUNDUP(($B$18*$C$18*$H$18)/설정!$B$61,0))+((F$28)*$C$18*설정!$B$57))</f>
        <v>0</v>
      </c>
      <c r="G72" s="67" t="n">
        <f aca="false">($D$18)*MIN(($B$18*$C$18*$H$18)*MAX(1,ROUNDUP(((G$28)*$B$18*설정!$B$57)/설정!$B$61,0))+((G$28)*$B$18*설정!$B$57)+((G$28)*$C$18*설정!$B$57),($B$18*$C$18*$H$18)+((G$28)*$B$18*설정!$B$57)*MAX(1,ROUNDUP(($B$18*$C$18*$H$18)/설정!$B$61,0))+((G$28)*$C$18*설정!$B$57))</f>
        <v>0</v>
      </c>
      <c r="H72" s="67" t="n">
        <f aca="false">($D$18)*MIN(($B$18*$C$18*$H$18)*MAX(1,ROUNDUP(((H$28)*$B$18*설정!$B$57)/설정!$B$61,0))+((H$28)*$B$18*설정!$B$57)+((H$28)*$C$18*설정!$B$57),($B$18*$C$18*$H$18)+((H$28)*$B$18*설정!$B$57)*MAX(1,ROUNDUP(($B$18*$C$18*$H$18)/설정!$B$61,0))+((H$28)*$C$18*설정!$B$57))</f>
        <v>0</v>
      </c>
      <c r="I72" s="2"/>
    </row>
    <row r="73" customFormat="false" ht="17.15" hidden="false" customHeight="false" outlineLevel="0" collapsed="false">
      <c r="A73" s="30" t="s">
        <v>322</v>
      </c>
      <c r="B73" s="68" t="n">
        <f aca="false">MAX(B71/$I$18,B72/설정!$B$60)*1000</f>
        <v>0</v>
      </c>
      <c r="C73" s="68" t="n">
        <f aca="false">MAX(C71/$I$18,C72/설정!$B$60)*1000</f>
        <v>0</v>
      </c>
      <c r="D73" s="68" t="n">
        <f aca="false">MAX(D71/$I$18,D72/설정!$B$60)*1000</f>
        <v>0</v>
      </c>
      <c r="E73" s="68" t="n">
        <f aca="false">MAX(E71/$I$18,E72/설정!$B$60)*1000</f>
        <v>0</v>
      </c>
      <c r="F73" s="68" t="n">
        <f aca="false">MAX(F71/$I$18,F72/설정!$B$60)*1000</f>
        <v>0</v>
      </c>
      <c r="G73" s="68" t="n">
        <f aca="false">MAX(G71/$I$18,G72/설정!$B$60)*1000</f>
        <v>0</v>
      </c>
      <c r="H73" s="68" t="n">
        <f aca="false">MAX(H71/$I$18,H72/설정!$B$60)*1000</f>
        <v>0</v>
      </c>
      <c r="I73" s="2"/>
    </row>
    <row r="74" customFormat="false" ht="17.15" hidden="false" customHeight="false" outlineLevel="0" collapsed="false">
      <c r="A74" s="30" t="s">
        <v>323</v>
      </c>
      <c r="B74" s="67" t="n">
        <f aca="false">($D$19)*2*(B$28)*$B$19*$C$19</f>
        <v>0</v>
      </c>
      <c r="C74" s="67" t="n">
        <f aca="false">($D$19)*2*(C$28)*$B$19*$C$19</f>
        <v>0</v>
      </c>
      <c r="D74" s="67" t="n">
        <f aca="false">($D$19)*2*(D$28)*$B$19*$C$19</f>
        <v>0</v>
      </c>
      <c r="E74" s="67" t="n">
        <f aca="false">($D$19)*2*(E$28)*$B$19*$C$19</f>
        <v>0</v>
      </c>
      <c r="F74" s="67" t="n">
        <f aca="false">($D$19)*2*(F$28)*$B$19*$C$19</f>
        <v>0</v>
      </c>
      <c r="G74" s="67" t="n">
        <f aca="false">($D$19)*2*(G$28)*$B$19*$C$19</f>
        <v>0</v>
      </c>
      <c r="H74" s="67" t="n">
        <f aca="false">($D$19)*2*(H$28)*$B$19*$C$19</f>
        <v>0</v>
      </c>
      <c r="I74" s="2"/>
    </row>
    <row r="75" customFormat="false" ht="17.15" hidden="false" customHeight="false" outlineLevel="0" collapsed="false">
      <c r="A75" s="30" t="s">
        <v>324</v>
      </c>
      <c r="B75" s="67" t="n">
        <f aca="false">($D$19)*MIN(($B$19*$C$19*$H$19)*MAX(1,ROUNDUP(((B$28)*$B$19*설정!$B$57)/설정!$B$61,0))+((B$28)*$B$19*설정!$B$57)+((B$28)*$C$19*설정!$B$57),($B$19*$C$19*$H$19)+((B$28)*$B$19*설정!$B$57)*MAX(1,ROUNDUP(($B$19*$C$19*$H$19)/설정!$B$61,0))+((B$28)*$C$19*설정!$B$57))</f>
        <v>0</v>
      </c>
      <c r="C75" s="67" t="n">
        <f aca="false">($D$19)*MIN(($B$19*$C$19*$H$19)*MAX(1,ROUNDUP(((C$28)*$B$19*설정!$B$57)/설정!$B$61,0))+((C$28)*$B$19*설정!$B$57)+((C$28)*$C$19*설정!$B$57),($B$19*$C$19*$H$19)+((C$28)*$B$19*설정!$B$57)*MAX(1,ROUNDUP(($B$19*$C$19*$H$19)/설정!$B$61,0))+((C$28)*$C$19*설정!$B$57))</f>
        <v>0</v>
      </c>
      <c r="D75" s="67" t="n">
        <f aca="false">($D$19)*MIN(($B$19*$C$19*$H$19)*MAX(1,ROUNDUP(((D$28)*$B$19*설정!$B$57)/설정!$B$61,0))+((D$28)*$B$19*설정!$B$57)+((D$28)*$C$19*설정!$B$57),($B$19*$C$19*$H$19)+((D$28)*$B$19*설정!$B$57)*MAX(1,ROUNDUP(($B$19*$C$19*$H$19)/설정!$B$61,0))+((D$28)*$C$19*설정!$B$57))</f>
        <v>0</v>
      </c>
      <c r="E75" s="67" t="n">
        <f aca="false">($D$19)*MIN(($B$19*$C$19*$H$19)*MAX(1,ROUNDUP(((E$28)*$B$19*설정!$B$57)/설정!$B$61,0))+((E$28)*$B$19*설정!$B$57)+((E$28)*$C$19*설정!$B$57),($B$19*$C$19*$H$19)+((E$28)*$B$19*설정!$B$57)*MAX(1,ROUNDUP(($B$19*$C$19*$H$19)/설정!$B$61,0))+((E$28)*$C$19*설정!$B$57))</f>
        <v>0</v>
      </c>
      <c r="F75" s="67" t="n">
        <f aca="false">($D$19)*MIN(($B$19*$C$19*$H$19)*MAX(1,ROUNDUP(((F$28)*$B$19*설정!$B$57)/설정!$B$61,0))+((F$28)*$B$19*설정!$B$57)+((F$28)*$C$19*설정!$B$57),($B$19*$C$19*$H$19)+((F$28)*$B$19*설정!$B$57)*MAX(1,ROUNDUP(($B$19*$C$19*$H$19)/설정!$B$61,0))+((F$28)*$C$19*설정!$B$57))</f>
        <v>0</v>
      </c>
      <c r="G75" s="67" t="n">
        <f aca="false">($D$19)*MIN(($B$19*$C$19*$H$19)*MAX(1,ROUNDUP(((G$28)*$B$19*설정!$B$57)/설정!$B$61,0))+((G$28)*$B$19*설정!$B$57)+((G$28)*$C$19*설정!$B$57),($B$19*$C$19*$H$19)+((G$28)*$B$19*설정!$B$57)*MAX(1,ROUNDUP(($B$19*$C$19*$H$19)/설정!$B$61,0))+((G$28)*$C$19*설정!$B$57))</f>
        <v>0</v>
      </c>
      <c r="H75" s="67" t="n">
        <f aca="false">($D$19)*MIN(($B$19*$C$19*$H$19)*MAX(1,ROUNDUP(((H$28)*$B$19*설정!$B$57)/설정!$B$61,0))+((H$28)*$B$19*설정!$B$57)+((H$28)*$C$19*설정!$B$57),($B$19*$C$19*$H$19)+((H$28)*$B$19*설정!$B$57)*MAX(1,ROUNDUP(($B$19*$C$19*$H$19)/설정!$B$61,0))+((H$28)*$C$19*설정!$B$57))</f>
        <v>0</v>
      </c>
      <c r="I75" s="2"/>
    </row>
    <row r="76" customFormat="false" ht="17.15" hidden="false" customHeight="false" outlineLevel="0" collapsed="false">
      <c r="A76" s="30" t="s">
        <v>325</v>
      </c>
      <c r="B76" s="68" t="n">
        <f aca="false">MAX(B74/$I$19,B75/설정!$B$60)*1000</f>
        <v>0</v>
      </c>
      <c r="C76" s="68" t="n">
        <f aca="false">MAX(C74/$I$19,C75/설정!$B$60)*1000</f>
        <v>0</v>
      </c>
      <c r="D76" s="68" t="n">
        <f aca="false">MAX(D74/$I$19,D75/설정!$B$60)*1000</f>
        <v>0</v>
      </c>
      <c r="E76" s="68" t="n">
        <f aca="false">MAX(E74/$I$19,E75/설정!$B$60)*1000</f>
        <v>0</v>
      </c>
      <c r="F76" s="68" t="n">
        <f aca="false">MAX(F74/$I$19,F75/설정!$B$60)*1000</f>
        <v>0</v>
      </c>
      <c r="G76" s="68" t="n">
        <f aca="false">MAX(G74/$I$19,G75/설정!$B$60)*1000</f>
        <v>0</v>
      </c>
      <c r="H76" s="68" t="n">
        <f aca="false">MAX(H74/$I$19,H75/설정!$B$60)*1000</f>
        <v>0</v>
      </c>
      <c r="I76" s="2"/>
    </row>
    <row r="77" customFormat="false" ht="17.15" hidden="false" customHeight="false" outlineLevel="0" collapsed="false">
      <c r="A77" s="30" t="s">
        <v>326</v>
      </c>
      <c r="B77" s="67" t="n">
        <f aca="false">($D$20)*2*(B$28)*$B$20*$C$20</f>
        <v>0</v>
      </c>
      <c r="C77" s="67" t="n">
        <f aca="false">($D$20)*2*(C$28)*$B$20*$C$20</f>
        <v>0</v>
      </c>
      <c r="D77" s="67" t="n">
        <f aca="false">($D$20)*2*(D$28)*$B$20*$C$20</f>
        <v>0</v>
      </c>
      <c r="E77" s="67" t="n">
        <f aca="false">($D$20)*2*(E$28)*$B$20*$C$20</f>
        <v>0</v>
      </c>
      <c r="F77" s="67" t="n">
        <f aca="false">($D$20)*2*(F$28)*$B$20*$C$20</f>
        <v>0</v>
      </c>
      <c r="G77" s="67" t="n">
        <f aca="false">($D$20)*2*(G$28)*$B$20*$C$20</f>
        <v>0</v>
      </c>
      <c r="H77" s="67" t="n">
        <f aca="false">($D$20)*2*(H$28)*$B$20*$C$20</f>
        <v>0</v>
      </c>
      <c r="I77" s="2"/>
    </row>
    <row r="78" customFormat="false" ht="17.15" hidden="false" customHeight="false" outlineLevel="0" collapsed="false">
      <c r="A78" s="30" t="s">
        <v>327</v>
      </c>
      <c r="B78" s="67" t="n">
        <f aca="false">($D$20)*MIN(($B$20*$C$20*$H$20)*MAX(1,ROUNDUP(((B$28)*$B$20*설정!$B$57)/설정!$B$61,0))+((B$28)*$B$20*설정!$B$57)+((B$28)*$C$20*설정!$B$57),($B$20*$C$20*$H$20)+((B$28)*$B$20*설정!$B$57)*MAX(1,ROUNDUP(($B$20*$C$20*$H$20)/설정!$B$61,0))+((B$28)*$C$20*설정!$B$57))</f>
        <v>0</v>
      </c>
      <c r="C78" s="67" t="n">
        <f aca="false">($D$20)*MIN(($B$20*$C$20*$H$20)*MAX(1,ROUNDUP(((C$28)*$B$20*설정!$B$57)/설정!$B$61,0))+((C$28)*$B$20*설정!$B$57)+((C$28)*$C$20*설정!$B$57),($B$20*$C$20*$H$20)+((C$28)*$B$20*설정!$B$57)*MAX(1,ROUNDUP(($B$20*$C$20*$H$20)/설정!$B$61,0))+((C$28)*$C$20*설정!$B$57))</f>
        <v>0</v>
      </c>
      <c r="D78" s="67" t="n">
        <f aca="false">($D$20)*MIN(($B$20*$C$20*$H$20)*MAX(1,ROUNDUP(((D$28)*$B$20*설정!$B$57)/설정!$B$61,0))+((D$28)*$B$20*설정!$B$57)+((D$28)*$C$20*설정!$B$57),($B$20*$C$20*$H$20)+((D$28)*$B$20*설정!$B$57)*MAX(1,ROUNDUP(($B$20*$C$20*$H$20)/설정!$B$61,0))+((D$28)*$C$20*설정!$B$57))</f>
        <v>0</v>
      </c>
      <c r="E78" s="67" t="n">
        <f aca="false">($D$20)*MIN(($B$20*$C$20*$H$20)*MAX(1,ROUNDUP(((E$28)*$B$20*설정!$B$57)/설정!$B$61,0))+((E$28)*$B$20*설정!$B$57)+((E$28)*$C$20*설정!$B$57),($B$20*$C$20*$H$20)+((E$28)*$B$20*설정!$B$57)*MAX(1,ROUNDUP(($B$20*$C$20*$H$20)/설정!$B$61,0))+((E$28)*$C$20*설정!$B$57))</f>
        <v>0</v>
      </c>
      <c r="F78" s="67" t="n">
        <f aca="false">($D$20)*MIN(($B$20*$C$20*$H$20)*MAX(1,ROUNDUP(((F$28)*$B$20*설정!$B$57)/설정!$B$61,0))+((F$28)*$B$20*설정!$B$57)+((F$28)*$C$20*설정!$B$57),($B$20*$C$20*$H$20)+((F$28)*$B$20*설정!$B$57)*MAX(1,ROUNDUP(($B$20*$C$20*$H$20)/설정!$B$61,0))+((F$28)*$C$20*설정!$B$57))</f>
        <v>0</v>
      </c>
      <c r="G78" s="67" t="n">
        <f aca="false">($D$20)*MIN(($B$20*$C$20*$H$20)*MAX(1,ROUNDUP(((G$28)*$B$20*설정!$B$57)/설정!$B$61,0))+((G$28)*$B$20*설정!$B$57)+((G$28)*$C$20*설정!$B$57),($B$20*$C$20*$H$20)+((G$28)*$B$20*설정!$B$57)*MAX(1,ROUNDUP(($B$20*$C$20*$H$20)/설정!$B$61,0))+((G$28)*$C$20*설정!$B$57))</f>
        <v>0</v>
      </c>
      <c r="H78" s="67" t="n">
        <f aca="false">($D$20)*MIN(($B$20*$C$20*$H$20)*MAX(1,ROUNDUP(((H$28)*$B$20*설정!$B$57)/설정!$B$61,0))+((H$28)*$B$20*설정!$B$57)+((H$28)*$C$20*설정!$B$57),($B$20*$C$20*$H$20)+((H$28)*$B$20*설정!$B$57)*MAX(1,ROUNDUP(($B$20*$C$20*$H$20)/설정!$B$61,0))+((H$28)*$C$20*설정!$B$57))</f>
        <v>0</v>
      </c>
      <c r="I78" s="2"/>
    </row>
    <row r="79" customFormat="false" ht="17.15" hidden="false" customHeight="false" outlineLevel="0" collapsed="false">
      <c r="A79" s="30" t="s">
        <v>328</v>
      </c>
      <c r="B79" s="68" t="n">
        <f aca="false">MAX(B77/$I$20,B78/설정!$B$60)*1000</f>
        <v>0</v>
      </c>
      <c r="C79" s="68" t="n">
        <f aca="false">MAX(C77/$I$20,C78/설정!$B$60)*1000</f>
        <v>0</v>
      </c>
      <c r="D79" s="68" t="n">
        <f aca="false">MAX(D77/$I$20,D78/설정!$B$60)*1000</f>
        <v>0</v>
      </c>
      <c r="E79" s="68" t="n">
        <f aca="false">MAX(E77/$I$20,E78/설정!$B$60)*1000</f>
        <v>0</v>
      </c>
      <c r="F79" s="68" t="n">
        <f aca="false">MAX(F77/$I$20,F78/설정!$B$60)*1000</f>
        <v>0</v>
      </c>
      <c r="G79" s="68" t="n">
        <f aca="false">MAX(G77/$I$20,G78/설정!$B$60)*1000</f>
        <v>0</v>
      </c>
      <c r="H79" s="68" t="n">
        <f aca="false">MAX(H77/$I$20,H78/설정!$B$60)*1000</f>
        <v>0</v>
      </c>
      <c r="I79" s="2"/>
    </row>
    <row r="80" customFormat="false" ht="17.15" hidden="false" customHeight="false" outlineLevel="0" collapsed="false">
      <c r="A80" s="30" t="s">
        <v>329</v>
      </c>
      <c r="B80" s="67" t="n">
        <f aca="false">($D$21*B$29)*2*(B$31)*$B$21*$C$21</f>
        <v>203843174400</v>
      </c>
      <c r="C80" s="67" t="n">
        <f aca="false">($D$21*C$29)*2*(C$31)*$B$21*$C$21</f>
        <v>407686348800</v>
      </c>
      <c r="D80" s="67" t="n">
        <f aca="false">($D$21*D$29)*2*(D$31)*$B$21*$C$21</f>
        <v>815372697600</v>
      </c>
      <c r="E80" s="67" t="n">
        <f aca="false">($D$21*E$29)*2*(E$31)*$B$21*$C$21</f>
        <v>1630745395200</v>
      </c>
      <c r="F80" s="67" t="n">
        <f aca="false">($D$21*F$29)*2*(F$31)*$B$21*$C$21</f>
        <v>3261490790400</v>
      </c>
      <c r="G80" s="67" t="n">
        <f aca="false">($D$21*G$29)*2*(G$31)*$B$21*$C$21</f>
        <v>6522981580800</v>
      </c>
      <c r="H80" s="67" t="n">
        <f aca="false">($D$21*H$29)*2*(H$31)*$B$21*$C$21</f>
        <v>13045963161600</v>
      </c>
      <c r="I80" s="2"/>
    </row>
    <row r="81" customFormat="false" ht="17.15" hidden="false" customHeight="false" outlineLevel="0" collapsed="false">
      <c r="A81" s="30" t="s">
        <v>330</v>
      </c>
      <c r="B81" s="67" t="n">
        <f aca="false">($D$21*B$29)*MIN(($B$21*$C$21*$H$21)*MAX(1,ROUNDUP(((B$31)*$B$21*설정!$B$57)/설정!$B$61,0))+((B$31)*$B$21*설정!$B$57)+((B$31)*$C$21*설정!$B$57),($B$21*$C$21*$H$21)+((B$31)*$B$21*설정!$B$57)*MAX(1,ROUNDUP(($B$21*$C$21*$H$21)/설정!$B$61,0))+((B$31)*$C$21*설정!$B$57))</f>
        <v>3355361155.97451</v>
      </c>
      <c r="C81" s="67" t="n">
        <f aca="false">($D$21*C$29)*MIN(($B$21*$C$21*$H$21)*MAX(1,ROUNDUP(((C$31)*$B$21*설정!$B$57)/설정!$B$61,0))+((C$31)*$B$21*설정!$B$57)+((C$31)*$C$21*설정!$B$57),($B$21*$C$21*$H$21)+((C$31)*$B$21*설정!$B$57)*MAX(1,ROUNDUP(($B$21*$C$21*$H$21)/설정!$B$61,0))+((C$31)*$C$21*설정!$B$57))</f>
        <v>3426140159.99999</v>
      </c>
      <c r="D81" s="67" t="n">
        <f aca="false">($D$21*D$29)*MIN(($B$21*$C$21*$H$21)*MAX(1,ROUNDUP(((D$31)*$B$21*설정!$B$57)/설정!$B$61,0))+((D$31)*$B$21*설정!$B$57)+((D$31)*$C$21*설정!$B$57),($B$21*$C$21*$H$21)+((D$31)*$B$21*설정!$B$57)*MAX(1,ROUNDUP(($B$21*$C$21*$H$21)/설정!$B$61,0))+((D$31)*$C$21*설정!$B$57))</f>
        <v>3567697920</v>
      </c>
      <c r="E81" s="67" t="n">
        <f aca="false">($D$21*E$29)*MIN(($B$21*$C$21*$H$21)*MAX(1,ROUNDUP(((E$31)*$B$21*설정!$B$57)/설정!$B$61,0))+((E$31)*$B$21*설정!$B$57)+((E$31)*$C$21*설정!$B$57),($B$21*$C$21*$H$21)+((E$31)*$B$21*설정!$B$57)*MAX(1,ROUNDUP(($B$21*$C$21*$H$21)/설정!$B$61,0))+((E$31)*$C$21*설정!$B$57))</f>
        <v>3850813440</v>
      </c>
      <c r="F81" s="67" t="n">
        <f aca="false">($D$21*F$29)*MIN(($B$21*$C$21*$H$21)*MAX(1,ROUNDUP(((F$31)*$B$21*설정!$B$57)/설정!$B$61,0))+((F$31)*$B$21*설정!$B$57)+((F$31)*$C$21*설정!$B$57),($B$21*$C$21*$H$21)+((F$31)*$B$21*설정!$B$57)*MAX(1,ROUNDUP(($B$21*$C$21*$H$21)/설정!$B$61,0))+((F$31)*$C$21*설정!$B$57))</f>
        <v>4417044480</v>
      </c>
      <c r="G81" s="67" t="n">
        <f aca="false">($D$21*G$29)*MIN(($B$21*$C$21*$H$21)*MAX(1,ROUNDUP(((G$31)*$B$21*설정!$B$57)/설정!$B$61,0))+((G$31)*$B$21*설정!$B$57)+((G$31)*$C$21*설정!$B$57),($B$21*$C$21*$H$21)+((G$31)*$B$21*설정!$B$57)*MAX(1,ROUNDUP(($B$21*$C$21*$H$21)/설정!$B$61,0))+((G$31)*$C$21*설정!$B$57))</f>
        <v>5549506560</v>
      </c>
      <c r="H81" s="67" t="n">
        <f aca="false">($D$21*H$29)*MIN(($B$21*$C$21*$H$21)*MAX(1,ROUNDUP(((H$31)*$B$21*설정!$B$57)/설정!$B$61,0))+((H$31)*$B$21*설정!$B$57)+((H$31)*$C$21*설정!$B$57),($B$21*$C$21*$H$21)+((H$31)*$B$21*설정!$B$57)*MAX(1,ROUNDUP(($B$21*$C$21*$H$21)/설정!$B$61,0))+((H$31)*$C$21*설정!$B$57))</f>
        <v>11099013120</v>
      </c>
      <c r="I81" s="2"/>
    </row>
    <row r="82" customFormat="false" ht="17.15" hidden="false" customHeight="false" outlineLevel="0" collapsed="false">
      <c r="A82" s="30" t="s">
        <v>331</v>
      </c>
      <c r="B82" s="68" t="n">
        <f aca="false">MAX(B80/$I$21,B81/설정!$B$60)*1000</f>
        <v>65.7913952151865</v>
      </c>
      <c r="C82" s="68" t="n">
        <f aca="false">MAX(C80/$I$21,C81/설정!$B$60)*1000</f>
        <v>67.1792188235293</v>
      </c>
      <c r="D82" s="68" t="n">
        <f aca="false">MAX(D80/$I$21,D81/설정!$B$60)*1000</f>
        <v>69.9548611764706</v>
      </c>
      <c r="E82" s="68" t="n">
        <f aca="false">MAX(E80/$I$21,E81/설정!$B$60)*1000</f>
        <v>75.5061458823529</v>
      </c>
      <c r="F82" s="68" t="n">
        <f aca="false">MAX(F80/$I$21,F81/설정!$B$60)*1000</f>
        <v>135.8954496</v>
      </c>
      <c r="G82" s="68" t="n">
        <f aca="false">MAX(G80/$I$21,G81/설정!$B$60)*1000</f>
        <v>271.7908992</v>
      </c>
      <c r="H82" s="68" t="n">
        <f aca="false">MAX(H80/$I$21,H81/설정!$B$60)*1000</f>
        <v>543.5817984</v>
      </c>
      <c r="I82" s="2"/>
    </row>
    <row r="83" customFormat="false" ht="17.15" hidden="false" customHeight="false" outlineLevel="0" collapsed="false">
      <c r="A83" s="30" t="s">
        <v>332</v>
      </c>
      <c r="B83" s="67" t="n">
        <f aca="false">($D$22*B$29)*2*(B$31)*$B$22*$C$22</f>
        <v>203843174400</v>
      </c>
      <c r="C83" s="67" t="n">
        <f aca="false">($D$22*C$29)*2*(C$31)*$B$22*$C$22</f>
        <v>407686348800</v>
      </c>
      <c r="D83" s="67" t="n">
        <f aca="false">($D$22*D$29)*2*(D$31)*$B$22*$C$22</f>
        <v>815372697600</v>
      </c>
      <c r="E83" s="67" t="n">
        <f aca="false">($D$22*E$29)*2*(E$31)*$B$22*$C$22</f>
        <v>1630745395200</v>
      </c>
      <c r="F83" s="67" t="n">
        <f aca="false">($D$22*F$29)*2*(F$31)*$B$22*$C$22</f>
        <v>3261490790400</v>
      </c>
      <c r="G83" s="67" t="n">
        <f aca="false">($D$22*G$29)*2*(G$31)*$B$22*$C$22</f>
        <v>6522981580800</v>
      </c>
      <c r="H83" s="67" t="n">
        <f aca="false">($D$22*H$29)*2*(H$31)*$B$22*$C$22</f>
        <v>13045963161600</v>
      </c>
      <c r="I83" s="2"/>
    </row>
    <row r="84" customFormat="false" ht="17.15" hidden="false" customHeight="false" outlineLevel="0" collapsed="false">
      <c r="A84" s="30" t="s">
        <v>333</v>
      </c>
      <c r="B84" s="67" t="n">
        <f aca="false">($D$22*B$29)*MIN(($B$22*$C$22*$H$22)*MAX(1,ROUNDUP(((B$31)*$B$22*설정!$B$57)/설정!$B$61,0))+((B$31)*$B$22*설정!$B$57)+((B$31)*$C$22*설정!$B$57),($B$22*$C$22*$H$22)+((B$31)*$B$22*설정!$B$57)*MAX(1,ROUNDUP(($B$22*$C$22*$H$22)/설정!$B$61,0))+((B$31)*$C$22*설정!$B$57))</f>
        <v>3355361155.97451</v>
      </c>
      <c r="C84" s="67" t="n">
        <f aca="false">($D$22*C$29)*MIN(($B$22*$C$22*$H$22)*MAX(1,ROUNDUP(((C$31)*$B$22*설정!$B$57)/설정!$B$61,0))+((C$31)*$B$22*설정!$B$57)+((C$31)*$C$22*설정!$B$57),($B$22*$C$22*$H$22)+((C$31)*$B$22*설정!$B$57)*MAX(1,ROUNDUP(($B$22*$C$22*$H$22)/설정!$B$61,0))+((C$31)*$C$22*설정!$B$57))</f>
        <v>3426140159.99999</v>
      </c>
      <c r="D84" s="67" t="n">
        <f aca="false">($D$22*D$29)*MIN(($B$22*$C$22*$H$22)*MAX(1,ROUNDUP(((D$31)*$B$22*설정!$B$57)/설정!$B$61,0))+((D$31)*$B$22*설정!$B$57)+((D$31)*$C$22*설정!$B$57),($B$22*$C$22*$H$22)+((D$31)*$B$22*설정!$B$57)*MAX(1,ROUNDUP(($B$22*$C$22*$H$22)/설정!$B$61,0))+((D$31)*$C$22*설정!$B$57))</f>
        <v>3567697920</v>
      </c>
      <c r="E84" s="67" t="n">
        <f aca="false">($D$22*E$29)*MIN(($B$22*$C$22*$H$22)*MAX(1,ROUNDUP(((E$31)*$B$22*설정!$B$57)/설정!$B$61,0))+((E$31)*$B$22*설정!$B$57)+((E$31)*$C$22*설정!$B$57),($B$22*$C$22*$H$22)+((E$31)*$B$22*설정!$B$57)*MAX(1,ROUNDUP(($B$22*$C$22*$H$22)/설정!$B$61,0))+((E$31)*$C$22*설정!$B$57))</f>
        <v>3850813440</v>
      </c>
      <c r="F84" s="67" t="n">
        <f aca="false">($D$22*F$29)*MIN(($B$22*$C$22*$H$22)*MAX(1,ROUNDUP(((F$31)*$B$22*설정!$B$57)/설정!$B$61,0))+((F$31)*$B$22*설정!$B$57)+((F$31)*$C$22*설정!$B$57),($B$22*$C$22*$H$22)+((F$31)*$B$22*설정!$B$57)*MAX(1,ROUNDUP(($B$22*$C$22*$H$22)/설정!$B$61,0))+((F$31)*$C$22*설정!$B$57))</f>
        <v>4417044480</v>
      </c>
      <c r="G84" s="67" t="n">
        <f aca="false">($D$22*G$29)*MIN(($B$22*$C$22*$H$22)*MAX(1,ROUNDUP(((G$31)*$B$22*설정!$B$57)/설정!$B$61,0))+((G$31)*$B$22*설정!$B$57)+((G$31)*$C$22*설정!$B$57),($B$22*$C$22*$H$22)+((G$31)*$B$22*설정!$B$57)*MAX(1,ROUNDUP(($B$22*$C$22*$H$22)/설정!$B$61,0))+((G$31)*$C$22*설정!$B$57))</f>
        <v>5549506560</v>
      </c>
      <c r="H84" s="67" t="n">
        <f aca="false">($D$22*H$29)*MIN(($B$22*$C$22*$H$22)*MAX(1,ROUNDUP(((H$31)*$B$22*설정!$B$57)/설정!$B$61,0))+((H$31)*$B$22*설정!$B$57)+((H$31)*$C$22*설정!$B$57),($B$22*$C$22*$H$22)+((H$31)*$B$22*설정!$B$57)*MAX(1,ROUNDUP(($B$22*$C$22*$H$22)/설정!$B$61,0))+((H$31)*$C$22*설정!$B$57))</f>
        <v>11099013120</v>
      </c>
      <c r="I84" s="2"/>
    </row>
    <row r="85" customFormat="false" ht="17.15" hidden="false" customHeight="false" outlineLevel="0" collapsed="false">
      <c r="A85" s="30" t="s">
        <v>334</v>
      </c>
      <c r="B85" s="68" t="n">
        <f aca="false">MAX(B83/$I$22,B84/설정!$B$60)*1000</f>
        <v>65.7913952151865</v>
      </c>
      <c r="C85" s="68" t="n">
        <f aca="false">MAX(C83/$I$22,C84/설정!$B$60)*1000</f>
        <v>67.1792188235293</v>
      </c>
      <c r="D85" s="68" t="n">
        <f aca="false">MAX(D83/$I$22,D84/설정!$B$60)*1000</f>
        <v>69.9548611764706</v>
      </c>
      <c r="E85" s="68" t="n">
        <f aca="false">MAX(E83/$I$22,E84/설정!$B$60)*1000</f>
        <v>75.5061458823529</v>
      </c>
      <c r="F85" s="68" t="n">
        <f aca="false">MAX(F83/$I$22,F84/설정!$B$60)*1000</f>
        <v>135.8954496</v>
      </c>
      <c r="G85" s="68" t="n">
        <f aca="false">MAX(G83/$I$22,G84/설정!$B$60)*1000</f>
        <v>271.7908992</v>
      </c>
      <c r="H85" s="68" t="n">
        <f aca="false">MAX(H83/$I$22,H84/설정!$B$60)*1000</f>
        <v>543.5817984</v>
      </c>
      <c r="I85" s="2"/>
    </row>
    <row r="86" customFormat="false" ht="17.15" hidden="false" customHeight="false" outlineLevel="0" collapsed="false">
      <c r="A86" s="30" t="s">
        <v>335</v>
      </c>
      <c r="B86" s="67" t="n">
        <f aca="false">($D$23*B$29)*2*(B$31)*$B$23*$C$23</f>
        <v>203843174400</v>
      </c>
      <c r="C86" s="67" t="n">
        <f aca="false">($D$23*C$29)*2*(C$31)*$B$23*$C$23</f>
        <v>407686348800</v>
      </c>
      <c r="D86" s="67" t="n">
        <f aca="false">($D$23*D$29)*2*(D$31)*$B$23*$C$23</f>
        <v>815372697600</v>
      </c>
      <c r="E86" s="67" t="n">
        <f aca="false">($D$23*E$29)*2*(E$31)*$B$23*$C$23</f>
        <v>1630745395200</v>
      </c>
      <c r="F86" s="67" t="n">
        <f aca="false">($D$23*F$29)*2*(F$31)*$B$23*$C$23</f>
        <v>3261490790400</v>
      </c>
      <c r="G86" s="67" t="n">
        <f aca="false">($D$23*G$29)*2*(G$31)*$B$23*$C$23</f>
        <v>6522981580800</v>
      </c>
      <c r="H86" s="67" t="n">
        <f aca="false">($D$23*H$29)*2*(H$31)*$B$23*$C$23</f>
        <v>13045963161600</v>
      </c>
      <c r="I86" s="2"/>
    </row>
    <row r="87" customFormat="false" ht="17.15" hidden="false" customHeight="false" outlineLevel="0" collapsed="false">
      <c r="A87" s="30" t="s">
        <v>336</v>
      </c>
      <c r="B87" s="67" t="n">
        <f aca="false">($D$23*B$29)*MIN(($B$23*$C$23*$H$23)*MAX(1,ROUNDUP(((B$31)*$B$23*설정!$B$57)/설정!$B$61,0))+((B$31)*$B$23*설정!$B$57)+((B$31)*$C$23*설정!$B$57),($B$23*$C$23*$H$23)+((B$31)*$B$23*설정!$B$57)*MAX(1,ROUNDUP(($B$23*$C$23*$H$23)/설정!$B$61,0))+((B$31)*$C$23*설정!$B$57))</f>
        <v>3355361155.97451</v>
      </c>
      <c r="C87" s="67" t="n">
        <f aca="false">($D$23*C$29)*MIN(($B$23*$C$23*$H$23)*MAX(1,ROUNDUP(((C$31)*$B$23*설정!$B$57)/설정!$B$61,0))+((C$31)*$B$23*설정!$B$57)+((C$31)*$C$23*설정!$B$57),($B$23*$C$23*$H$23)+((C$31)*$B$23*설정!$B$57)*MAX(1,ROUNDUP(($B$23*$C$23*$H$23)/설정!$B$61,0))+((C$31)*$C$23*설정!$B$57))</f>
        <v>3426140159.99999</v>
      </c>
      <c r="D87" s="67" t="n">
        <f aca="false">($D$23*D$29)*MIN(($B$23*$C$23*$H$23)*MAX(1,ROUNDUP(((D$31)*$B$23*설정!$B$57)/설정!$B$61,0))+((D$31)*$B$23*설정!$B$57)+((D$31)*$C$23*설정!$B$57),($B$23*$C$23*$H$23)+((D$31)*$B$23*설정!$B$57)*MAX(1,ROUNDUP(($B$23*$C$23*$H$23)/설정!$B$61,0))+((D$31)*$C$23*설정!$B$57))</f>
        <v>3567697920</v>
      </c>
      <c r="E87" s="67" t="n">
        <f aca="false">($D$23*E$29)*MIN(($B$23*$C$23*$H$23)*MAX(1,ROUNDUP(((E$31)*$B$23*설정!$B$57)/설정!$B$61,0))+((E$31)*$B$23*설정!$B$57)+((E$31)*$C$23*설정!$B$57),($B$23*$C$23*$H$23)+((E$31)*$B$23*설정!$B$57)*MAX(1,ROUNDUP(($B$23*$C$23*$H$23)/설정!$B$61,0))+((E$31)*$C$23*설정!$B$57))</f>
        <v>3850813440</v>
      </c>
      <c r="F87" s="67" t="n">
        <f aca="false">($D$23*F$29)*MIN(($B$23*$C$23*$H$23)*MAX(1,ROUNDUP(((F$31)*$B$23*설정!$B$57)/설정!$B$61,0))+((F$31)*$B$23*설정!$B$57)+((F$31)*$C$23*설정!$B$57),($B$23*$C$23*$H$23)+((F$31)*$B$23*설정!$B$57)*MAX(1,ROUNDUP(($B$23*$C$23*$H$23)/설정!$B$61,0))+((F$31)*$C$23*설정!$B$57))</f>
        <v>4417044480</v>
      </c>
      <c r="G87" s="67" t="n">
        <f aca="false">($D$23*G$29)*MIN(($B$23*$C$23*$H$23)*MAX(1,ROUNDUP(((G$31)*$B$23*설정!$B$57)/설정!$B$61,0))+((G$31)*$B$23*설정!$B$57)+((G$31)*$C$23*설정!$B$57),($B$23*$C$23*$H$23)+((G$31)*$B$23*설정!$B$57)*MAX(1,ROUNDUP(($B$23*$C$23*$H$23)/설정!$B$61,0))+((G$31)*$C$23*설정!$B$57))</f>
        <v>5549506560</v>
      </c>
      <c r="H87" s="67" t="n">
        <f aca="false">($D$23*H$29)*MIN(($B$23*$C$23*$H$23)*MAX(1,ROUNDUP(((H$31)*$B$23*설정!$B$57)/설정!$B$61,0))+((H$31)*$B$23*설정!$B$57)+((H$31)*$C$23*설정!$B$57),($B$23*$C$23*$H$23)+((H$31)*$B$23*설정!$B$57)*MAX(1,ROUNDUP(($B$23*$C$23*$H$23)/설정!$B$61,0))+((H$31)*$C$23*설정!$B$57))</f>
        <v>11099013120</v>
      </c>
      <c r="I87" s="2"/>
    </row>
    <row r="88" customFormat="false" ht="17.15" hidden="false" customHeight="false" outlineLevel="0" collapsed="false">
      <c r="A88" s="30" t="s">
        <v>337</v>
      </c>
      <c r="B88" s="68" t="n">
        <f aca="false">MAX(B86/$I$23,B87/설정!$B$60)*1000</f>
        <v>65.7913952151865</v>
      </c>
      <c r="C88" s="68" t="n">
        <f aca="false">MAX(C86/$I$23,C87/설정!$B$60)*1000</f>
        <v>67.1792188235293</v>
      </c>
      <c r="D88" s="68" t="n">
        <f aca="false">MAX(D86/$I$23,D87/설정!$B$60)*1000</f>
        <v>69.9548611764706</v>
      </c>
      <c r="E88" s="68" t="n">
        <f aca="false">MAX(E86/$I$23,E87/설정!$B$60)*1000</f>
        <v>75.5061458823529</v>
      </c>
      <c r="F88" s="68" t="n">
        <f aca="false">MAX(F86/$I$23,F87/설정!$B$60)*1000</f>
        <v>135.8954496</v>
      </c>
      <c r="G88" s="68" t="n">
        <f aca="false">MAX(G86/$I$23,G87/설정!$B$60)*1000</f>
        <v>271.7908992</v>
      </c>
      <c r="H88" s="68" t="n">
        <f aca="false">MAX(H86/$I$23,H87/설정!$B$60)*1000</f>
        <v>543.5817984</v>
      </c>
      <c r="I88" s="2"/>
    </row>
    <row r="89" customFormat="false" ht="17.15" hidden="false" customHeight="false" outlineLevel="0" collapsed="false">
      <c r="A89" s="30" t="s">
        <v>338</v>
      </c>
      <c r="B89" s="67" t="n">
        <f aca="false">($D$24)*2*(1)*$B$24*$C$24</f>
        <v>1158266880</v>
      </c>
      <c r="C89" s="67" t="n">
        <f aca="false">($D$24)*2*(1)*$B$24*$C$24</f>
        <v>1158266880</v>
      </c>
      <c r="D89" s="67" t="n">
        <f aca="false">($D$24)*2*(1)*$B$24*$C$24</f>
        <v>1158266880</v>
      </c>
      <c r="E89" s="67" t="n">
        <f aca="false">($D$24)*2*(1)*$B$24*$C$24</f>
        <v>1158266880</v>
      </c>
      <c r="F89" s="67" t="n">
        <f aca="false">($D$24)*2*(1)*$B$24*$C$24</f>
        <v>1158266880</v>
      </c>
      <c r="G89" s="67" t="n">
        <f aca="false">($D$24)*2*(1)*$B$24*$C$24</f>
        <v>1158266880</v>
      </c>
      <c r="H89" s="67" t="n">
        <f aca="false">($D$24)*2*(1)*$B$24*$C$24</f>
        <v>1158266880</v>
      </c>
      <c r="I89" s="2"/>
    </row>
    <row r="90" customFormat="false" ht="17.15" hidden="false" customHeight="false" outlineLevel="0" collapsed="false">
      <c r="A90" s="30" t="s">
        <v>339</v>
      </c>
      <c r="B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C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D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E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F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G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H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I90" s="2"/>
    </row>
    <row r="91" customFormat="false" ht="17.15" hidden="false" customHeight="false" outlineLevel="0" collapsed="false">
      <c r="A91" s="30" t="s">
        <v>340</v>
      </c>
      <c r="B91" s="68" t="n">
        <f aca="false">MAX(B89/$I$24,B90/설정!$B$60)*1000</f>
        <v>5.85920878431373</v>
      </c>
      <c r="C91" s="68" t="n">
        <f aca="false">MAX(C89/$I$24,C90/설정!$B$60)*1000</f>
        <v>5.85920878431373</v>
      </c>
      <c r="D91" s="68" t="n">
        <f aca="false">MAX(D89/$I$24,D90/설정!$B$60)*1000</f>
        <v>5.85920878431373</v>
      </c>
      <c r="E91" s="68" t="n">
        <f aca="false">MAX(E89/$I$24,E90/설정!$B$60)*1000</f>
        <v>5.85920878431373</v>
      </c>
      <c r="F91" s="68" t="n">
        <f aca="false">MAX(F89/$I$24,F90/설정!$B$60)*1000</f>
        <v>5.85920878431373</v>
      </c>
      <c r="G91" s="68" t="n">
        <f aca="false">MAX(G89/$I$24,G90/설정!$B$60)*1000</f>
        <v>5.85920878431373</v>
      </c>
      <c r="H91" s="68" t="n">
        <f aca="false">MAX(H89/$I$24,H90/설정!$B$60)*1000</f>
        <v>5.85920878431373</v>
      </c>
      <c r="I91" s="2"/>
    </row>
    <row r="92" customFormat="false" ht="17.15" hidden="false" customHeight="false" outlineLevel="0" collapsed="false">
      <c r="A92" s="30" t="s">
        <v>341</v>
      </c>
      <c r="B92" s="67" t="n">
        <f aca="false">B28*(B28+1)/2</f>
        <v>8256</v>
      </c>
      <c r="C92" s="67" t="n">
        <f aca="false">C28*(C28+1)/2</f>
        <v>32896</v>
      </c>
      <c r="D92" s="67" t="n">
        <f aca="false">D28*(D28+1)/2</f>
        <v>131328</v>
      </c>
      <c r="E92" s="67" t="n">
        <f aca="false">E28*(E28+1)/2</f>
        <v>524800</v>
      </c>
      <c r="F92" s="67" t="n">
        <f aca="false">F28*(F28+1)/2</f>
        <v>2098176</v>
      </c>
      <c r="G92" s="67" t="n">
        <f aca="false">G28*(G28+1)/2</f>
        <v>8390656</v>
      </c>
      <c r="H92" s="67" t="n">
        <f aca="false">H28*(H28+1)/2</f>
        <v>33558528</v>
      </c>
      <c r="I92" s="2"/>
    </row>
    <row r="93" customFormat="false" ht="17.15" hidden="false" customHeight="false" outlineLevel="0" collapsed="false">
      <c r="A93" s="30" t="s">
        <v>342</v>
      </c>
      <c r="B93" s="67" t="n">
        <f aca="false">모델!$C$12*4*모델!$C$13*모델!$C$15*B92</f>
        <v>1623195648</v>
      </c>
      <c r="C93" s="67" t="n">
        <f aca="false">모델!$C$12*4*모델!$C$13*모델!$C$15*C92</f>
        <v>6467616768</v>
      </c>
      <c r="D93" s="67" t="n">
        <f aca="false">모델!$C$12*4*모델!$C$13*모델!$C$15*D92</f>
        <v>25820135424</v>
      </c>
      <c r="E93" s="67" t="n">
        <f aca="false">모델!$C$12*4*모델!$C$13*모델!$C$15*E92</f>
        <v>103179878400</v>
      </c>
      <c r="F93" s="67" t="n">
        <f aca="false">모델!$C$12*4*모델!$C$13*모델!$C$15*F92</f>
        <v>412518187008</v>
      </c>
      <c r="G93" s="67" t="n">
        <f aca="false">모델!$C$12*4*모델!$C$13*모델!$C$15*G92</f>
        <v>1649670094848</v>
      </c>
      <c r="H93" s="67" t="n">
        <f aca="false">모델!$C$12*4*모델!$C$13*모델!$C$15*H92</f>
        <v>6597875073024</v>
      </c>
      <c r="I93" s="2"/>
    </row>
    <row r="94" customFormat="false" ht="17.15" hidden="false" customHeight="false" outlineLevel="0" collapsed="false">
      <c r="A94" s="30" t="s">
        <v>343</v>
      </c>
      <c r="B94" s="67" t="n">
        <f aca="false">모델!$C$12*(2*B28*모델!$C$13*모델!$C$15*설정!$B$57+B28*2*모델!$C$14*모델!$C$15*설정!$B$58*MAX(1,ROUNDUP(B28*(모델!$C$13/MAX(1,모델!$C$14))*모델!$C$15*설정!$B$57/설정!$B$61,0)))</f>
        <v>14155776</v>
      </c>
      <c r="C94" s="67" t="n">
        <f aca="false">모델!$C$12*(2*C28*모델!$C$13*모델!$C$15*설정!$B$57+C28*2*모델!$C$14*모델!$C$15*설정!$B$58*MAX(1,ROUNDUP(C28*(모델!$C$13/MAX(1,모델!$C$14))*모델!$C$15*설정!$B$57/설정!$B$61,0)))</f>
        <v>28311552</v>
      </c>
      <c r="D94" s="67" t="n">
        <f aca="false">모델!$C$12*(2*D28*모델!$C$13*모델!$C$15*설정!$B$57+D28*2*모델!$C$14*모델!$C$15*설정!$B$58*MAX(1,ROUNDUP(D28*(모델!$C$13/MAX(1,모델!$C$14))*모델!$C$15*설정!$B$57/설정!$B$61,0)))</f>
        <v>56623104</v>
      </c>
      <c r="E94" s="67" t="n">
        <f aca="false">모델!$C$12*(2*E28*모델!$C$13*모델!$C$15*설정!$B$57+E28*2*모델!$C$14*모델!$C$15*설정!$B$58*MAX(1,ROUNDUP(E28*(모델!$C$13/MAX(1,모델!$C$14))*모델!$C$15*설정!$B$57/설정!$B$61,0)))</f>
        <v>113246208</v>
      </c>
      <c r="F94" s="67" t="n">
        <f aca="false">모델!$C$12*(2*F28*모델!$C$13*모델!$C$15*설정!$B$57+F28*2*모델!$C$14*모델!$C$15*설정!$B$58*MAX(1,ROUNDUP(F28*(모델!$C$13/MAX(1,모델!$C$14))*모델!$C$15*설정!$B$57/설정!$B$61,0)))</f>
        <v>226492416</v>
      </c>
      <c r="G94" s="67" t="n">
        <f aca="false">모델!$C$12*(2*G28*모델!$C$13*모델!$C$15*설정!$B$57+G28*2*모델!$C$14*모델!$C$15*설정!$B$58*MAX(1,ROUNDUP(G28*(모델!$C$13/MAX(1,모델!$C$14))*모델!$C$15*설정!$B$57/설정!$B$61,0)))</f>
        <v>503316480</v>
      </c>
      <c r="H94" s="67" t="n">
        <f aca="false">모델!$C$12*(2*H28*모델!$C$13*모델!$C$15*설정!$B$57+H28*2*모델!$C$14*모델!$C$15*설정!$B$58*MAX(1,ROUNDUP(H28*(모델!$C$13/MAX(1,모델!$C$14))*모델!$C$15*설정!$B$57/설정!$B$61,0)))</f>
        <v>1107296256</v>
      </c>
      <c r="I94" s="2"/>
    </row>
    <row r="95" customFormat="false" ht="17.15" hidden="false" customHeight="false" outlineLevel="0" collapsed="false">
      <c r="A95" s="30" t="s">
        <v>344</v>
      </c>
      <c r="B95" s="68" t="n">
        <f aca="false">MAX(B93/설정!$B$68,B94/설정!$B$60)*1000</f>
        <v>0.277564235294118</v>
      </c>
      <c r="C95" s="68" t="n">
        <f aca="false">MAX(C93/설정!$B$68,C94/설정!$B$60)*1000</f>
        <v>0.555128470588235</v>
      </c>
      <c r="D95" s="68" t="n">
        <f aca="false">MAX(D93/설정!$B$68,D94/설정!$B$60)*1000</f>
        <v>1.11025694117647</v>
      </c>
      <c r="E95" s="68" t="n">
        <f aca="false">MAX(E93/설정!$B$68,E94/설정!$B$60)*1000</f>
        <v>4.2991616</v>
      </c>
      <c r="F95" s="68" t="n">
        <f aca="false">MAX(F93/설정!$B$68,F94/설정!$B$60)*1000</f>
        <v>17.188257792</v>
      </c>
      <c r="G95" s="68" t="n">
        <f aca="false">MAX(G93/설정!$B$68,G94/설정!$B$60)*1000</f>
        <v>68.736253952</v>
      </c>
      <c r="H95" s="68" t="n">
        <f aca="false">MAX(H93/설정!$B$68,H94/설정!$B$60)*1000</f>
        <v>274.911461376</v>
      </c>
      <c r="I95" s="2"/>
    </row>
    <row r="96" customFormat="false" ht="17.15" hidden="false" customHeight="false" outlineLevel="0" collapsed="false">
      <c r="A96" s="30" t="s">
        <v>345</v>
      </c>
      <c r="B96" s="67" t="n">
        <f aca="false">IF(B28&lt;=모델!$C$20,B28*(B28+1)/2,모델!$C$20*(모델!$C$20+1)/2+(B28-모델!$C$20)*모델!$C$20)</f>
        <v>8256</v>
      </c>
      <c r="C96" s="67" t="n">
        <f aca="false">IF(C28&lt;=모델!$C$20,C28*(C28+1)/2,모델!$C$20*(모델!$C$20+1)/2+(C28-모델!$C$20)*모델!$C$20)</f>
        <v>24640</v>
      </c>
      <c r="D96" s="67" t="n">
        <f aca="false">IF(D28&lt;=모델!$C$20,D28*(D28+1)/2,모델!$C$20*(모델!$C$20+1)/2+(D28-모델!$C$20)*모델!$C$20)</f>
        <v>57408</v>
      </c>
      <c r="E96" s="67" t="n">
        <f aca="false">IF(E28&lt;=모델!$C$20,E28*(E28+1)/2,모델!$C$20*(모델!$C$20+1)/2+(E28-모델!$C$20)*모델!$C$20)</f>
        <v>122944</v>
      </c>
      <c r="F96" s="67" t="n">
        <f aca="false">IF(F28&lt;=모델!$C$20,F28*(F28+1)/2,모델!$C$20*(모델!$C$20+1)/2+(F28-모델!$C$20)*모델!$C$20)</f>
        <v>254016</v>
      </c>
      <c r="G96" s="67" t="n">
        <f aca="false">IF(G28&lt;=모델!$C$20,G28*(G28+1)/2,모델!$C$20*(모델!$C$20+1)/2+(G28-모델!$C$20)*모델!$C$20)</f>
        <v>516160</v>
      </c>
      <c r="H96" s="67" t="n">
        <f aca="false">IF(H28&lt;=모델!$C$20,H28*(H28+1)/2,모델!$C$20*(모델!$C$20+1)/2+(H28-모델!$C$20)*모델!$C$20)</f>
        <v>1040448</v>
      </c>
      <c r="I96" s="2"/>
    </row>
    <row r="97" customFormat="false" ht="17.15" hidden="false" customHeight="false" outlineLevel="0" collapsed="false">
      <c r="A97" s="30" t="s">
        <v>346</v>
      </c>
      <c r="B97" s="67" t="n">
        <f aca="false">모델!$C$19*4*모델!$C$21*모델!$C$23*B96</f>
        <v>1623195648</v>
      </c>
      <c r="C97" s="67" t="n">
        <f aca="false">모델!$C$19*4*모델!$C$21*모델!$C$23*C96</f>
        <v>4844421120</v>
      </c>
      <c r="D97" s="67" t="n">
        <f aca="false">모델!$C$19*4*모델!$C$21*모델!$C$23*D96</f>
        <v>11286872064</v>
      </c>
      <c r="E97" s="67" t="n">
        <f aca="false">모델!$C$19*4*모델!$C$21*모델!$C$23*E96</f>
        <v>24171773952</v>
      </c>
      <c r="F97" s="67" t="n">
        <f aca="false">모델!$C$19*4*모델!$C$21*모델!$C$23*F96</f>
        <v>49941577728</v>
      </c>
      <c r="G97" s="67" t="n">
        <f aca="false">모델!$C$19*4*모델!$C$21*모델!$C$23*G96</f>
        <v>101481185280</v>
      </c>
      <c r="H97" s="67" t="n">
        <f aca="false">모델!$C$19*4*모델!$C$21*모델!$C$23*H96</f>
        <v>204560400384</v>
      </c>
      <c r="I97" s="2"/>
    </row>
    <row r="98" customFormat="false" ht="17.15" hidden="false" customHeight="false" outlineLevel="0" collapsed="false">
      <c r="A98" s="30" t="s">
        <v>347</v>
      </c>
      <c r="B98" s="67" t="n">
        <f aca="false">모델!$C$19*(2*B28*모델!$C$21*모델!$C$23*설정!$B$57+B28*2*모델!$C$22*모델!$C$23*설정!$B$58*MAX(1,ROUNDUP(MIN(B28,모델!$C$20)*(모델!$C$21/MAX(1,모델!$C$22))*모델!$C$23*설정!$B$57/설정!$B$61,0)))</f>
        <v>14155776</v>
      </c>
      <c r="C98" s="67" t="n">
        <f aca="false">모델!$C$19*(2*C28*모델!$C$21*모델!$C$23*설정!$B$57+C28*2*모델!$C$22*모델!$C$23*설정!$B$58*MAX(1,ROUNDUP(MIN(C28,모델!$C$20)*(모델!$C$21/MAX(1,모델!$C$22))*모델!$C$23*설정!$B$57/설정!$B$61,0)))</f>
        <v>28311552</v>
      </c>
      <c r="D98" s="67" t="n">
        <f aca="false">모델!$C$19*(2*D28*모델!$C$21*모델!$C$23*설정!$B$57+D28*2*모델!$C$22*모델!$C$23*설정!$B$58*MAX(1,ROUNDUP(MIN(D28,모델!$C$20)*(모델!$C$21/MAX(1,모델!$C$22))*모델!$C$23*설정!$B$57/설정!$B$61,0)))</f>
        <v>56623104</v>
      </c>
      <c r="E98" s="67" t="n">
        <f aca="false">모델!$C$19*(2*E28*모델!$C$21*모델!$C$23*설정!$B$57+E28*2*모델!$C$22*모델!$C$23*설정!$B$58*MAX(1,ROUNDUP(MIN(E28,모델!$C$20)*(모델!$C$21/MAX(1,모델!$C$22))*모델!$C$23*설정!$B$57/설정!$B$61,0)))</f>
        <v>113246208</v>
      </c>
      <c r="F98" s="67" t="n">
        <f aca="false">모델!$C$19*(2*F28*모델!$C$21*모델!$C$23*설정!$B$57+F28*2*모델!$C$22*모델!$C$23*설정!$B$58*MAX(1,ROUNDUP(MIN(F28,모델!$C$20)*(모델!$C$21/MAX(1,모델!$C$22))*모델!$C$23*설정!$B$57/설정!$B$61,0)))</f>
        <v>226492416</v>
      </c>
      <c r="G98" s="67" t="n">
        <f aca="false">모델!$C$19*(2*G28*모델!$C$21*모델!$C$23*설정!$B$57+G28*2*모델!$C$22*모델!$C$23*설정!$B$58*MAX(1,ROUNDUP(MIN(G28,모델!$C$20)*(모델!$C$21/MAX(1,모델!$C$22))*모델!$C$23*설정!$B$57/설정!$B$61,0)))</f>
        <v>452984832</v>
      </c>
      <c r="H98" s="67" t="n">
        <f aca="false">모델!$C$19*(2*H28*모델!$C$21*모델!$C$23*설정!$B$57+H28*2*모델!$C$22*모델!$C$23*설정!$B$58*MAX(1,ROUNDUP(MIN(H28,모델!$C$20)*(모델!$C$21/MAX(1,모델!$C$22))*모델!$C$23*설정!$B$57/설정!$B$61,0)))</f>
        <v>905969664</v>
      </c>
      <c r="I98" s="2"/>
    </row>
    <row r="99" customFormat="false" ht="17.15" hidden="false" customHeight="false" outlineLevel="0" collapsed="false">
      <c r="A99" s="30" t="s">
        <v>348</v>
      </c>
      <c r="B99" s="68" t="n">
        <f aca="false">MAX(B97/설정!$B$68,B98/설정!$B$60)*1000</f>
        <v>0.277564235294118</v>
      </c>
      <c r="C99" s="68" t="n">
        <f aca="false">MAX(C97/설정!$B$68,C98/설정!$B$60)*1000</f>
        <v>0.555128470588235</v>
      </c>
      <c r="D99" s="68" t="n">
        <f aca="false">MAX(D97/설정!$B$68,D98/설정!$B$60)*1000</f>
        <v>1.11025694117647</v>
      </c>
      <c r="E99" s="68" t="n">
        <f aca="false">MAX(E97/설정!$B$68,E98/설정!$B$60)*1000</f>
        <v>2.22051388235294</v>
      </c>
      <c r="F99" s="68" t="n">
        <f aca="false">MAX(F97/설정!$B$68,F98/설정!$B$60)*1000</f>
        <v>4.44102776470588</v>
      </c>
      <c r="G99" s="68" t="n">
        <f aca="false">MAX(G97/설정!$B$68,G98/설정!$B$60)*1000</f>
        <v>8.88205552941176</v>
      </c>
      <c r="H99" s="68" t="n">
        <f aca="false">MAX(H97/설정!$B$68,H98/설정!$B$60)*1000</f>
        <v>17.7641110588235</v>
      </c>
      <c r="I99" s="2"/>
    </row>
    <row r="100" customFormat="false" ht="17.15" hidden="false" customHeight="false" outlineLevel="0" collapsed="false">
      <c r="A100" s="30" t="s">
        <v>349</v>
      </c>
      <c r="B100" s="69" t="n">
        <f aca="false">IF(모델!$C$26&gt;0,ROUNDUP(B28/MAX(1,모델!$C$32),0)*모델!$C$32,0)</f>
        <v>0</v>
      </c>
      <c r="C100" s="69" t="n">
        <f aca="false">IF(모델!$C$26&gt;0,ROUNDUP(C28/MAX(1,모델!$C$32),0)*모델!$C$32,0)</f>
        <v>0</v>
      </c>
      <c r="D100" s="69" t="n">
        <f aca="false">IF(모델!$C$26&gt;0,ROUNDUP(D28/MAX(1,모델!$C$32),0)*모델!$C$32,0)</f>
        <v>0</v>
      </c>
      <c r="E100" s="69" t="n">
        <f aca="false">IF(모델!$C$26&gt;0,ROUNDUP(E28/MAX(1,모델!$C$32),0)*모델!$C$32,0)</f>
        <v>0</v>
      </c>
      <c r="F100" s="69" t="n">
        <f aca="false">IF(모델!$C$26&gt;0,ROUNDUP(F28/MAX(1,모델!$C$32),0)*모델!$C$32,0)</f>
        <v>0</v>
      </c>
      <c r="G100" s="69" t="n">
        <f aca="false">IF(모델!$C$26&gt;0,ROUNDUP(G28/MAX(1,모델!$C$32),0)*모델!$C$32,0)</f>
        <v>0</v>
      </c>
      <c r="H100" s="69" t="n">
        <f aca="false">IF(모델!$C$26&gt;0,ROUNDUP(H28/MAX(1,모델!$C$32),0)*모델!$C$32,0)</f>
        <v>0</v>
      </c>
      <c r="I100" s="2"/>
    </row>
    <row r="101" customFormat="false" ht="17.15" hidden="false" customHeight="false" outlineLevel="0" collapsed="false">
      <c r="A101" s="30" t="s">
        <v>350</v>
      </c>
      <c r="B101" s="67" t="n">
        <f aca="false">모델!$C$26*B100*모델!$C$29*(6*모델!$C$32*모델!$C$28+4*모델!$C$32*모델!$C$30+6*모델!$C$28*모델!$C$30)</f>
        <v>0</v>
      </c>
      <c r="C101" s="67" t="n">
        <f aca="false">모델!$C$26*C100*모델!$C$29*(6*모델!$C$32*모델!$C$28+4*모델!$C$32*모델!$C$30+6*모델!$C$28*모델!$C$30)</f>
        <v>0</v>
      </c>
      <c r="D101" s="67" t="n">
        <f aca="false">모델!$C$26*D100*모델!$C$29*(6*모델!$C$32*모델!$C$28+4*모델!$C$32*모델!$C$30+6*모델!$C$28*모델!$C$30)</f>
        <v>0</v>
      </c>
      <c r="E101" s="67" t="n">
        <f aca="false">모델!$C$26*E100*모델!$C$29*(6*모델!$C$32*모델!$C$28+4*모델!$C$32*모델!$C$30+6*모델!$C$28*모델!$C$30)</f>
        <v>0</v>
      </c>
      <c r="F101" s="67" t="n">
        <f aca="false">모델!$C$26*F100*모델!$C$29*(6*모델!$C$32*모델!$C$28+4*모델!$C$32*모델!$C$30+6*모델!$C$28*모델!$C$30)</f>
        <v>0</v>
      </c>
      <c r="G101" s="67" t="n">
        <f aca="false">모델!$C$26*G100*모델!$C$29*(6*모델!$C$32*모델!$C$28+4*모델!$C$32*모델!$C$30+6*모델!$C$28*모델!$C$30)</f>
        <v>0</v>
      </c>
      <c r="H101" s="67" t="n">
        <f aca="false">모델!$C$26*H100*모델!$C$29*(6*모델!$C$32*모델!$C$28+4*모델!$C$32*모델!$C$30+6*모델!$C$28*모델!$C$30)</f>
        <v>0</v>
      </c>
      <c r="I101" s="2"/>
    </row>
    <row r="102" customFormat="false" ht="17.15" hidden="false" customHeight="false" outlineLevel="0" collapsed="false">
      <c r="A102" s="30" t="s">
        <v>351</v>
      </c>
      <c r="B102" s="67" t="n">
        <f aca="false">모델!$C$26*(B28*(모델!$C$52+2*모델!$C$29)*설정!$B$57+B28*모델!$C$29*모델!$C$30*설정!$B$57+모델!$C$29*모델!$C$28*모델!$C$30*설정!$B$59)</f>
        <v>0</v>
      </c>
      <c r="C102" s="67" t="n">
        <f aca="false">모델!$C$26*(C28*(모델!$C$52+2*모델!$C$29)*설정!$B$57+C28*모델!$C$29*모델!$C$30*설정!$B$57+모델!$C$29*모델!$C$28*모델!$C$30*설정!$B$59)</f>
        <v>0</v>
      </c>
      <c r="D102" s="67" t="n">
        <f aca="false">모델!$C$26*(D28*(모델!$C$52+2*모델!$C$29)*설정!$B$57+D28*모델!$C$29*모델!$C$30*설정!$B$57+모델!$C$29*모델!$C$28*모델!$C$30*설정!$B$59)</f>
        <v>0</v>
      </c>
      <c r="E102" s="67" t="n">
        <f aca="false">모델!$C$26*(E28*(모델!$C$52+2*모델!$C$29)*설정!$B$57+E28*모델!$C$29*모델!$C$30*설정!$B$57+모델!$C$29*모델!$C$28*모델!$C$30*설정!$B$59)</f>
        <v>0</v>
      </c>
      <c r="F102" s="67" t="n">
        <f aca="false">모델!$C$26*(F28*(모델!$C$52+2*모델!$C$29)*설정!$B$57+F28*모델!$C$29*모델!$C$30*설정!$B$57+모델!$C$29*모델!$C$28*모델!$C$30*설정!$B$59)</f>
        <v>0</v>
      </c>
      <c r="G102" s="67" t="n">
        <f aca="false">모델!$C$26*(G28*(모델!$C$52+2*모델!$C$29)*설정!$B$57+G28*모델!$C$29*모델!$C$30*설정!$B$57+모델!$C$29*모델!$C$28*모델!$C$30*설정!$B$59)</f>
        <v>0</v>
      </c>
      <c r="H102" s="67" t="n">
        <f aca="false">모델!$C$26*(H28*(모델!$C$52+2*모델!$C$29)*설정!$B$57+H28*모델!$C$29*모델!$C$30*설정!$B$57+모델!$C$29*모델!$C$28*모델!$C$30*설정!$B$59)</f>
        <v>0</v>
      </c>
      <c r="I102" s="2"/>
    </row>
    <row r="103" customFormat="false" ht="17.15" hidden="false" customHeight="false" outlineLevel="0" collapsed="false">
      <c r="A103" s="30" t="s">
        <v>352</v>
      </c>
      <c r="B103" s="68" t="n">
        <f aca="false">MAX(B101/설정!$B$69,B102/설정!$B$60)*1000</f>
        <v>0</v>
      </c>
      <c r="C103" s="68" t="n">
        <f aca="false">MAX(C101/설정!$B$69,C102/설정!$B$60)*1000</f>
        <v>0</v>
      </c>
      <c r="D103" s="68" t="n">
        <f aca="false">MAX(D101/설정!$B$69,D102/설정!$B$60)*1000</f>
        <v>0</v>
      </c>
      <c r="E103" s="68" t="n">
        <f aca="false">MAX(E101/설정!$B$69,E102/설정!$B$60)*1000</f>
        <v>0</v>
      </c>
      <c r="F103" s="68" t="n">
        <f aca="false">MAX(F101/설정!$B$69,F102/설정!$B$60)*1000</f>
        <v>0</v>
      </c>
      <c r="G103" s="68" t="n">
        <f aca="false">MAX(G101/설정!$B$69,G102/설정!$B$60)*1000</f>
        <v>0</v>
      </c>
      <c r="H103" s="68" t="n">
        <f aca="false">MAX(H101/설정!$B$69,H102/설정!$B$60)*1000</f>
        <v>0</v>
      </c>
      <c r="I103" s="2"/>
    </row>
    <row r="104" customFormat="false" ht="17.15" hidden="false" customHeight="false" outlineLevel="0" collapsed="false">
      <c r="A104" s="30" t="s">
        <v>353</v>
      </c>
      <c r="B104" s="68" t="n">
        <f aca="false">모델!$C$49*IF(설정!$B$40="CPU",설정!$B$41/1000+((B28)*모델!$C$36*설정!$B$43/8+(B28)*모델!$C$37*설정!$B$44)/(설정!$B$42*1000000000)*1000+(B28)*모델!$C$36*설정!$B$45/1000000,설정!$B$46/1000)</f>
        <v>2.6236416</v>
      </c>
      <c r="C104" s="68" t="n">
        <f aca="false">모델!$C$49*IF(설정!$B$40="CPU",설정!$B$41/1000+((C28)*모델!$C$36*설정!$B$43/8+(C28)*모델!$C$37*설정!$B$44)/(설정!$B$42*1000000000)*1000+(C28)*모델!$C$36*설정!$B$45/1000000,설정!$B$46/1000)</f>
        <v>2.8472832</v>
      </c>
      <c r="D104" s="68" t="n">
        <f aca="false">모델!$C$49*IF(설정!$B$40="CPU",설정!$B$41/1000+((D28)*모델!$C$36*설정!$B$43/8+(D28)*모델!$C$37*설정!$B$44)/(설정!$B$42*1000000000)*1000+(D28)*모델!$C$36*설정!$B$45/1000000,설정!$B$46/1000)</f>
        <v>3.2945664</v>
      </c>
      <c r="E104" s="68" t="n">
        <f aca="false">모델!$C$49*IF(설정!$B$40="CPU",설정!$B$41/1000+((E28)*모델!$C$36*설정!$B$43/8+(E28)*모델!$C$37*설정!$B$44)/(설정!$B$42*1000000000)*1000+(E28)*모델!$C$36*설정!$B$45/1000000,설정!$B$46/1000)</f>
        <v>4.1891328</v>
      </c>
      <c r="F104" s="68" t="n">
        <f aca="false">모델!$C$49*IF(설정!$B$40="CPU",설정!$B$41/1000+((F28)*모델!$C$36*설정!$B$43/8+(F28)*모델!$C$37*설정!$B$44)/(설정!$B$42*1000000000)*1000+(F28)*모델!$C$36*설정!$B$45/1000000,설정!$B$46/1000)</f>
        <v>5.9782656</v>
      </c>
      <c r="G104" s="68" t="n">
        <f aca="false">모델!$C$49*IF(설정!$B$40="CPU",설정!$B$41/1000+((G28)*모델!$C$36*설정!$B$43/8+(G28)*모델!$C$37*설정!$B$44)/(설정!$B$42*1000000000)*1000+(G28)*모델!$C$36*설정!$B$45/1000000,설정!$B$46/1000)</f>
        <v>9.5565312</v>
      </c>
      <c r="H104" s="68" t="n">
        <f aca="false">모델!$C$49*IF(설정!$B$40="CPU",설정!$B$41/1000+((H28)*모델!$C$36*설정!$B$43/8+(H28)*모델!$C$37*설정!$B$44)/(설정!$B$42*1000000000)*1000+(H28)*모델!$C$36*설정!$B$45/1000000,설정!$B$46/1000)</f>
        <v>16.7130624</v>
      </c>
      <c r="I104" s="2"/>
    </row>
    <row r="105" customFormat="false" ht="17.15" hidden="false" customHeight="false" outlineLevel="0" collapsed="false">
      <c r="A105" s="33" t="s">
        <v>354</v>
      </c>
      <c r="B105" s="64" t="n">
        <f aca="false">B34+B37+B40+B43+B46+B49+B52+B55+B58+B61+B64+B67+B70+B73+B76+B79+B82+B85+B88+B91</f>
        <v>211.14224337105</v>
      </c>
      <c r="C105" s="64" t="n">
        <f aca="false">C34+C37+C40+C43+C46+C49+C52+C55+C58+C61+C64+C67+C70+C73+C76+C79+C82+C85+C88+C91</f>
        <v>221.404185951372</v>
      </c>
      <c r="D105" s="64" t="n">
        <f aca="false">D34+D37+D40+D43+D46+D49+D52+D55+D58+D61+D64+D67+D70+D73+D76+D79+D82+D85+D88+D91</f>
        <v>243.648549998431</v>
      </c>
      <c r="E105" s="64" t="n">
        <f aca="false">E34+E37+E40+E43+E46+E49+E52+E55+E58+E61+E64+E67+E70+E73+E76+E79+E82+E85+E88+E91</f>
        <v>288.183114741961</v>
      </c>
      <c r="F105" s="64" t="n">
        <f aca="false">F34+F37+F40+F43+F46+F49+F52+F55+F58+F61+F64+F67+F70+F73+F76+F79+F82+F85+F88+F91</f>
        <v>525.112447146667</v>
      </c>
      <c r="G105" s="64" t="n">
        <f aca="false">G34+G37+G40+G43+G46+G49+G52+G55+G58+G61+G64+G67+G70+G73+G76+G79+G82+G85+G88+G91</f>
        <v>1044.3216384502</v>
      </c>
      <c r="H105" s="64" t="n">
        <f aca="false">H34+H37+H40+H43+H46+H49+H52+H55+H58+H61+H64+H67+H70+H73+H76+H79+H82+H85+H88+H91</f>
        <v>2082.74002105726</v>
      </c>
      <c r="I105" s="2"/>
    </row>
    <row r="106" customFormat="false" ht="17.15" hidden="false" customHeight="false" outlineLevel="0" collapsed="false">
      <c r="A106" s="33" t="s">
        <v>355</v>
      </c>
      <c r="B106" s="64" t="n">
        <f aca="false">B95+B99+B103</f>
        <v>0.555128470588235</v>
      </c>
      <c r="C106" s="64" t="n">
        <f aca="false">C95+C99+C103</f>
        <v>1.11025694117647</v>
      </c>
      <c r="D106" s="64" t="n">
        <f aca="false">D95+D99+D103</f>
        <v>2.22051388235294</v>
      </c>
      <c r="E106" s="64" t="n">
        <f aca="false">E95+E99+E103</f>
        <v>6.51967548235294</v>
      </c>
      <c r="F106" s="64" t="n">
        <f aca="false">F95+F99+F103</f>
        <v>21.6292855567059</v>
      </c>
      <c r="G106" s="64" t="n">
        <f aca="false">G95+G99+G103</f>
        <v>77.6183094814118</v>
      </c>
      <c r="H106" s="64" t="n">
        <f aca="false">H95+H99+H103</f>
        <v>292.675572434824</v>
      </c>
      <c r="I106" s="2"/>
    </row>
    <row r="107" customFormat="false" ht="17.15" hidden="false" customHeight="false" outlineLevel="0" collapsed="false">
      <c r="A107" s="33" t="s">
        <v>356</v>
      </c>
      <c r="B107" s="64" t="n">
        <f aca="false">(B32/$I$5+B35/$I$6+B38/$I$7+B41/$I$8+B44/$I$9+B47/$I$10+B50/$I$11+B53/$I$12+B56/$I$13+B59/$I$14+B62/$I$15+B65/$I$16+B68/$I$17+B71/$I$18+B74/$I$19+B77/$I$20+B80/$I$21+B83/$I$22+B86/$I$23+B89/$I$24+(B93+B97)/설정!$B$68+B101/설정!$B$69)*1000</f>
        <v>32.482289664</v>
      </c>
      <c r="C107" s="64" t="n">
        <f aca="false">(C32/$I$5+C35/$I$6+C38/$I$7+C41/$I$8+C44/$I$9+C47/$I$10+C50/$I$11+C53/$I$12+C56/$I$13+C59/$I$14+C62/$I$15+C65/$I$16+C68/$I$17+C71/$I$18+C74/$I$19+C77/$I$20+C80/$I$21+C83/$I$22+C86/$I$23+C89/$I$24+(C93+C97)/설정!$B$68+C101/설정!$B$69)*1000</f>
        <v>65.117120512</v>
      </c>
      <c r="D107" s="64" t="n">
        <f aca="false">(D32/$I$5+D35/$I$6+D38/$I$7+D41/$I$8+D44/$I$9+D47/$I$10+D50/$I$11+D53/$I$12+D56/$I$13+D59/$I$14+D62/$I$15+D65/$I$16+D68/$I$17+D71/$I$18+D74/$I$19+D77/$I$20+D80/$I$21+D83/$I$22+D86/$I$23+D89/$I$24+(D93+D97)/설정!$B$68+D101/설정!$B$69)*1000</f>
        <v>130.789435392</v>
      </c>
      <c r="E107" s="64" t="n">
        <f aca="false">(E32/$I$5+E35/$I$6+E38/$I$7+E41/$I$8+E44/$I$9+E47/$I$10+E50/$I$11+E53/$I$12+E56/$I$13+E59/$I$14+E62/$I$15+E65/$I$16+E68/$I$17+E71/$I$18+E74/$I$19+E77/$I$20+E80/$I$21+E83/$I$22+E86/$I$23+E89/$I$24+(E93+E97)/설정!$B$68+E101/설정!$B$69)*1000</f>
        <v>263.744677888</v>
      </c>
      <c r="F107" s="64" t="n">
        <f aca="false">(F32/$I$5+F35/$I$6+F38/$I$7+F41/$I$8+F44/$I$9+F47/$I$10+F50/$I$11+F53/$I$12+F56/$I$13+F59/$I$14+F62/$I$15+F65/$I$16+F68/$I$17+F71/$I$18+F74/$I$19+F77/$I$20+F80/$I$21+F83/$I$22+F86/$I$23+F89/$I$24+(F93+F97)/설정!$B$68+F101/설정!$B$69)*1000</f>
        <v>536.097613824</v>
      </c>
      <c r="G107" s="64" t="n">
        <f aca="false">(G32/$I$5+G35/$I$6+G38/$I$7+G41/$I$8+G44/$I$9+G47/$I$10+G50/$I$11+G53/$I$12+G56/$I$13+G59/$I$14+G62/$I$15+G65/$I$16+G68/$I$17+G71/$I$18+G74/$I$19+G77/$I$20+G80/$I$21+G83/$I$22+G86/$I$23+G89/$I$24+(G93+G97)/설정!$B$68+G101/설정!$B$69)*1000</f>
        <v>1106.573289472</v>
      </c>
      <c r="H107" s="64" t="n">
        <f aca="false">(H32/$I$5+H35/$I$6+H38/$I$7+H41/$I$8+H44/$I$9+H47/$I$10+H50/$I$11+H53/$I$12+H56/$I$13+H59/$I$14+H62/$I$15+H65/$I$16+H68/$I$17+H71/$I$18+H74/$I$19+H77/$I$20+H80/$I$21+H83/$I$22+H86/$I$23+H89/$I$24+(H93+H97)/설정!$B$68+H101/설정!$B$69)*1000</f>
        <v>2350.603855872</v>
      </c>
      <c r="I107" s="2"/>
    </row>
    <row r="108" customFormat="false" ht="17.15" hidden="false" customHeight="false" outlineLevel="0" collapsed="false">
      <c r="A108" s="33" t="s">
        <v>357</v>
      </c>
      <c r="B108" s="68" t="n">
        <f aca="false">(B33+B36+B39+B42+B45+B48+B51+B54+B57+B60+B63+B66+B69+B72+B75+B78+B81+B84+B87+B90+B94+B98+B102)/1000000000</f>
        <v>10.7965659639235</v>
      </c>
      <c r="C108" s="68" t="n">
        <f aca="false">(C33+C36+C39+C42+C45+C48+C51+C54+C57+C60+C63+C66+C69+C72+C75+C78+C81+C84+C87+C90+C94+C98+C102)/1000000000</f>
        <v>11.109861184</v>
      </c>
      <c r="D108" s="68" t="n">
        <f aca="false">(D33+D36+D39+D42+D45+D48+D51+D54+D57+D60+D63+D66+D69+D72+D75+D78+D81+D84+D87+D90+D94+D98+D102)/1000000000</f>
        <v>11.88243232</v>
      </c>
      <c r="E108" s="68" t="n">
        <f aca="false">(E33+E36+E39+E42+E45+E48+E51+E54+E57+E60+E63+E66+E69+E72+E75+E78+E81+E84+E87+E90+E94+E98+E102)/1000000000</f>
        <v>13.427574592</v>
      </c>
      <c r="F108" s="68" t="n">
        <f aca="false">(F33+F36+F39+F42+F45+F48+F51+F54+F57+F60+F63+F66+F69+F72+F75+F78+F81+F84+F87+F90+F94+F98+F102)/1000000000</f>
        <v>16.504588096</v>
      </c>
      <c r="G108" s="68" t="n">
        <f aca="false">(G33+G36+G39+G42+G45+G48+G51+G54+G57+G60+G63+G66+G69+G72+G75+G78+G81+G84+G87+G90+G94+G98+G102)/1000000000</f>
        <v>22.616344384</v>
      </c>
      <c r="H108" s="68" t="n">
        <f aca="false">(H33+H36+H39+H42+H45+H48+H51+H54+H57+H60+H63+H66+H69+H72+H75+H78+H81+H84+H87+H90+H94+H98+H102)/1000000000</f>
        <v>44.703827776</v>
      </c>
      <c r="I108" s="2"/>
    </row>
    <row r="109" customFormat="false" ht="17.15" hidden="false" customHeight="false" outlineLevel="0" collapsed="false">
      <c r="A109" s="33" t="s">
        <v>358</v>
      </c>
      <c r="B109" s="64" t="n">
        <f aca="false">B108*1000000000/설정!$B$60*1000</f>
        <v>211.697371841638</v>
      </c>
      <c r="C109" s="64" t="n">
        <f aca="false">C108*1000000000/설정!$B$60*1000</f>
        <v>217.840415372549</v>
      </c>
      <c r="D109" s="64" t="n">
        <f aca="false">D108*1000000000/설정!$B$60*1000</f>
        <v>232.988869019608</v>
      </c>
      <c r="E109" s="64" t="n">
        <f aca="false">E108*1000000000/설정!$B$60*1000</f>
        <v>263.285776313726</v>
      </c>
      <c r="F109" s="64" t="n">
        <f aca="false">F108*1000000000/설정!$B$60*1000</f>
        <v>323.619374431373</v>
      </c>
      <c r="G109" s="64" t="n">
        <f aca="false">G108*1000000000/설정!$B$60*1000</f>
        <v>443.457733019608</v>
      </c>
      <c r="H109" s="64" t="n">
        <f aca="false">H108*1000000000/설정!$B$60*1000</f>
        <v>876.545642666667</v>
      </c>
      <c r="I109" s="2"/>
    </row>
    <row r="110" customFormat="false" ht="15" hidden="false" customHeight="false" outlineLevel="0" collapsed="false">
      <c r="A110" s="33" t="s">
        <v>359</v>
      </c>
      <c r="B110" s="70" t="str">
        <f aca="false">IF(B107&gt;B109,"연산","메모리")</f>
        <v>메모리</v>
      </c>
      <c r="C110" s="70" t="str">
        <f aca="false">IF(C107&gt;C109,"연산","메모리")</f>
        <v>메모리</v>
      </c>
      <c r="D110" s="70" t="str">
        <f aca="false">IF(D107&gt;D109,"연산","메모리")</f>
        <v>메모리</v>
      </c>
      <c r="E110" s="70" t="str">
        <f aca="false">IF(E107&gt;E109,"연산","메모리")</f>
        <v>연산</v>
      </c>
      <c r="F110" s="70" t="str">
        <f aca="false">IF(F107&gt;F109,"연산","메모리")</f>
        <v>연산</v>
      </c>
      <c r="G110" s="70" t="str">
        <f aca="false">IF(G107&gt;G109,"연산","메모리")</f>
        <v>연산</v>
      </c>
      <c r="H110" s="70" t="str">
        <f aca="false">IF(H107&gt;H109,"연산","메모리")</f>
        <v>연산</v>
      </c>
      <c r="I110" s="2"/>
    </row>
    <row r="111" customFormat="false" ht="15" hidden="false" customHeight="false" outlineLevel="0" collapsed="false">
      <c r="A111" s="16" t="s">
        <v>14</v>
      </c>
      <c r="B111" s="71" t="n">
        <f aca="false">(B105+B106)*(1+설정!$B$14)+B104+설정!$B$15</f>
        <v>235.490750625802</v>
      </c>
      <c r="C111" s="71" t="n">
        <f aca="false">(C105+C106)*(1+설정!$B$14)+C104+설정!$B$15</f>
        <v>247.613170381804</v>
      </c>
      <c r="D111" s="71" t="n">
        <f aca="false">(D105+D106)*(1+설정!$B$14)+D104+설정!$B$15</f>
        <v>273.750536668863</v>
      </c>
      <c r="E111" s="71" t="n">
        <f aca="false">(E105+E106)*(1+설정!$B$14)+E104+설정!$B$15</f>
        <v>328.362202046745</v>
      </c>
      <c r="F111" s="71" t="n">
        <f aca="false">(F105+F106)*(1+설정!$B$14)+F104+설정!$B$15</f>
        <v>607.39417157371</v>
      </c>
      <c r="G111" s="71" t="n">
        <f aca="false">(G105+G106)*(1+설정!$B$14)+G104+설정!$B$15</f>
        <v>1243.69047392477</v>
      </c>
      <c r="H111" s="71" t="n">
        <f aca="false">(H105+H106)*(1+설정!$B$14)+H104+설정!$B$15</f>
        <v>2629.67021524129</v>
      </c>
      <c r="I111" s="2"/>
    </row>
    <row r="112" customFormat="false" ht="17.15" hidden="false" customHeight="false" outlineLevel="0" collapsed="false">
      <c r="A112" s="30" t="s">
        <v>360</v>
      </c>
      <c r="B112" s="72" t="n">
        <f aca="false">IF(B111&gt;0,B104/B111,0)</f>
        <v>0.0111411662370086</v>
      </c>
      <c r="C112" s="72" t="n">
        <f aca="false">IF(C111&gt;0,C104/C111,0)</f>
        <v>0.0114989166190541</v>
      </c>
      <c r="D112" s="72" t="n">
        <f aca="false">IF(D111&gt;0,D104/D111,0)</f>
        <v>0.0120349221597516</v>
      </c>
      <c r="E112" s="72" t="n">
        <f aca="false">IF(E111&gt;0,E104/E111,0)</f>
        <v>0.0127576583842121</v>
      </c>
      <c r="F112" s="72" t="n">
        <f aca="false">IF(F111&gt;0,F104/F111,0)</f>
        <v>0.00984248101115424</v>
      </c>
      <c r="G112" s="72" t="n">
        <f aca="false">IF(G111&gt;0,G104/G111,0)</f>
        <v>0.00768401093387974</v>
      </c>
      <c r="H112" s="72" t="n">
        <f aca="false">IF(H111&gt;0,H104/H111,0)</f>
        <v>0.00635557352520209</v>
      </c>
      <c r="I112" s="2"/>
    </row>
    <row r="113" customFormat="false" ht="17.15" hidden="false" customHeight="false" outlineLevel="0" collapsed="false">
      <c r="A113" s="30" t="s">
        <v>361</v>
      </c>
      <c r="B113" s="72" t="n">
        <f aca="false">IF(B111&gt;0,B103*(1+설정!$B$14)/B111,0)</f>
        <v>0</v>
      </c>
      <c r="C113" s="72" t="n">
        <f aca="false">IF(C111&gt;0,C103*(1+설정!$B$14)/C111,0)</f>
        <v>0</v>
      </c>
      <c r="D113" s="72" t="n">
        <f aca="false">IF(D111&gt;0,D103*(1+설정!$B$14)/D111,0)</f>
        <v>0</v>
      </c>
      <c r="E113" s="72" t="n">
        <f aca="false">IF(E111&gt;0,E103*(1+설정!$B$14)/E111,0)</f>
        <v>0</v>
      </c>
      <c r="F113" s="72" t="n">
        <f aca="false">IF(F111&gt;0,F103*(1+설정!$B$14)/F111,0)</f>
        <v>0</v>
      </c>
      <c r="G113" s="72" t="n">
        <f aca="false">IF(G111&gt;0,G103*(1+설정!$B$14)/G111,0)</f>
        <v>0</v>
      </c>
      <c r="H113" s="72" t="n">
        <f aca="false">IF(H111&gt;0,H103*(1+설정!$B$14)/H111,0)</f>
        <v>0</v>
      </c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7.15" hidden="false" customHeight="false" outlineLevel="0" collapsed="false">
      <c r="A115" s="28" t="s">
        <v>362</v>
      </c>
      <c r="B115" s="29"/>
      <c r="C115" s="29"/>
      <c r="D115" s="29"/>
      <c r="E115" s="29"/>
      <c r="F115" s="29"/>
      <c r="G115" s="29"/>
      <c r="H115" s="29"/>
      <c r="I115" s="29"/>
    </row>
    <row r="116" customFormat="false" ht="15" hidden="false" customHeight="false" outlineLevel="0" collapsed="false">
      <c r="A116" s="7" t="s">
        <v>363</v>
      </c>
      <c r="B116" s="73" t="n">
        <f aca="false">설정!$B$54+설정!$B$51*설정!$B$52</f>
        <v>256</v>
      </c>
      <c r="C116" s="73" t="n">
        <f aca="false">설정!$C$54+설정!$B$51*설정!$B$52</f>
        <v>384</v>
      </c>
      <c r="D116" s="73" t="n">
        <f aca="false">설정!$D$54+설정!$B$51*설정!$B$52</f>
        <v>640</v>
      </c>
      <c r="E116" s="73" t="n">
        <f aca="false">설정!$E$54+설정!$B$51*설정!$B$52</f>
        <v>1152</v>
      </c>
      <c r="F116" s="73" t="n">
        <f aca="false">설정!$F$54+설정!$B$51*설정!$B$52</f>
        <v>2176</v>
      </c>
      <c r="G116" s="73" t="n">
        <f aca="false">설정!$G$54+설정!$B$51*설정!$B$52</f>
        <v>4224</v>
      </c>
      <c r="H116" s="73" t="n">
        <f aca="false">설정!$H$54+설정!$B$51*설정!$B$52</f>
        <v>8320</v>
      </c>
      <c r="I116" s="2"/>
    </row>
    <row r="117" customFormat="false" ht="17.15" hidden="false" customHeight="false" outlineLevel="0" collapsed="false">
      <c r="A117" s="30" t="s">
        <v>281</v>
      </c>
      <c r="B117" s="67" t="n">
        <f aca="false">($D$5)*2*(1)*$B$5*$C$5</f>
        <v>283115520</v>
      </c>
      <c r="C117" s="67" t="n">
        <f aca="false">($D$5)*2*(1)*$B$5*$C$5</f>
        <v>283115520</v>
      </c>
      <c r="D117" s="67" t="n">
        <f aca="false">($D$5)*2*(1)*$B$5*$C$5</f>
        <v>283115520</v>
      </c>
      <c r="E117" s="67" t="n">
        <f aca="false">($D$5)*2*(1)*$B$5*$C$5</f>
        <v>283115520</v>
      </c>
      <c r="F117" s="67" t="n">
        <f aca="false">($D$5)*2*(1)*$B$5*$C$5</f>
        <v>283115520</v>
      </c>
      <c r="G117" s="67" t="n">
        <f aca="false">($D$5)*2*(1)*$B$5*$C$5</f>
        <v>283115520</v>
      </c>
      <c r="H117" s="67" t="n">
        <f aca="false">($D$5)*2*(1)*$B$5*$C$5</f>
        <v>283115520</v>
      </c>
      <c r="I117" s="2"/>
    </row>
    <row r="118" customFormat="false" ht="17.15" hidden="false" customHeight="false" outlineLevel="0" collapsed="false">
      <c r="A118" s="30" t="s">
        <v>282</v>
      </c>
      <c r="B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73074432</v>
      </c>
      <c r="C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73074432</v>
      </c>
      <c r="D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73074432</v>
      </c>
      <c r="E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73074432</v>
      </c>
      <c r="F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73074432</v>
      </c>
      <c r="G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73074432</v>
      </c>
      <c r="H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73074432</v>
      </c>
      <c r="I118" s="2"/>
    </row>
    <row r="119" customFormat="false" ht="17.15" hidden="false" customHeight="false" outlineLevel="0" collapsed="false">
      <c r="A119" s="30" t="s">
        <v>283</v>
      </c>
      <c r="B119" s="68" t="n">
        <f aca="false">MAX(B117/$I$5,B118/설정!$B$60)*1000</f>
        <v>1.432832</v>
      </c>
      <c r="C119" s="68" t="n">
        <f aca="false">MAX(C117/$I$5,C118/설정!$B$60)*1000</f>
        <v>1.432832</v>
      </c>
      <c r="D119" s="68" t="n">
        <f aca="false">MAX(D117/$I$5,D118/설정!$B$60)*1000</f>
        <v>1.432832</v>
      </c>
      <c r="E119" s="68" t="n">
        <f aca="false">MAX(E117/$I$5,E118/설정!$B$60)*1000</f>
        <v>1.432832</v>
      </c>
      <c r="F119" s="68" t="n">
        <f aca="false">MAX(F117/$I$5,F118/설정!$B$60)*1000</f>
        <v>1.432832</v>
      </c>
      <c r="G119" s="68" t="n">
        <f aca="false">MAX(G117/$I$5,G118/설정!$B$60)*1000</f>
        <v>1.432832</v>
      </c>
      <c r="H119" s="68" t="n">
        <f aca="false">MAX(H117/$I$5,H118/설정!$B$60)*1000</f>
        <v>1.432832</v>
      </c>
      <c r="I119" s="2"/>
    </row>
    <row r="120" customFormat="false" ht="17.15" hidden="false" customHeight="false" outlineLevel="0" collapsed="false">
      <c r="A120" s="30" t="s">
        <v>284</v>
      </c>
      <c r="B120" s="67" t="n">
        <f aca="false">($D$6)*2*(1)*$B$6*$C$6</f>
        <v>35389440</v>
      </c>
      <c r="C120" s="67" t="n">
        <f aca="false">($D$6)*2*(1)*$B$6*$C$6</f>
        <v>35389440</v>
      </c>
      <c r="D120" s="67" t="n">
        <f aca="false">($D$6)*2*(1)*$B$6*$C$6</f>
        <v>35389440</v>
      </c>
      <c r="E120" s="67" t="n">
        <f aca="false">($D$6)*2*(1)*$B$6*$C$6</f>
        <v>35389440</v>
      </c>
      <c r="F120" s="67" t="n">
        <f aca="false">($D$6)*2*(1)*$B$6*$C$6</f>
        <v>35389440</v>
      </c>
      <c r="G120" s="67" t="n">
        <f aca="false">($D$6)*2*(1)*$B$6*$C$6</f>
        <v>35389440</v>
      </c>
      <c r="H120" s="67" t="n">
        <f aca="false">($D$6)*2*(1)*$B$6*$C$6</f>
        <v>35389440</v>
      </c>
      <c r="I120" s="2"/>
    </row>
    <row r="121" customFormat="false" ht="17.15" hidden="false" customHeight="false" outlineLevel="0" collapsed="false">
      <c r="A121" s="30" t="s">
        <v>285</v>
      </c>
      <c r="B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9164544</v>
      </c>
      <c r="C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9164544</v>
      </c>
      <c r="D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9164544</v>
      </c>
      <c r="E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9164544</v>
      </c>
      <c r="F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9164544</v>
      </c>
      <c r="G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9164544</v>
      </c>
      <c r="H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9164544</v>
      </c>
      <c r="I121" s="2"/>
    </row>
    <row r="122" customFormat="false" ht="17.15" hidden="false" customHeight="false" outlineLevel="0" collapsed="false">
      <c r="A122" s="30" t="s">
        <v>286</v>
      </c>
      <c r="B122" s="68" t="n">
        <f aca="false">MAX(B120/$I$6,B121/설정!$B$60)*1000</f>
        <v>0.179696941176471</v>
      </c>
      <c r="C122" s="68" t="n">
        <f aca="false">MAX(C120/$I$6,C121/설정!$B$60)*1000</f>
        <v>0.179696941176471</v>
      </c>
      <c r="D122" s="68" t="n">
        <f aca="false">MAX(D120/$I$6,D121/설정!$B$60)*1000</f>
        <v>0.179696941176471</v>
      </c>
      <c r="E122" s="68" t="n">
        <f aca="false">MAX(E120/$I$6,E121/설정!$B$60)*1000</f>
        <v>0.179696941176471</v>
      </c>
      <c r="F122" s="68" t="n">
        <f aca="false">MAX(F120/$I$6,F121/설정!$B$60)*1000</f>
        <v>0.179696941176471</v>
      </c>
      <c r="G122" s="68" t="n">
        <f aca="false">MAX(G120/$I$6,G121/설정!$B$60)*1000</f>
        <v>0.179696941176471</v>
      </c>
      <c r="H122" s="68" t="n">
        <f aca="false">MAX(H120/$I$6,H121/설정!$B$60)*1000</f>
        <v>0.179696941176471</v>
      </c>
      <c r="I122" s="2"/>
    </row>
    <row r="123" customFormat="false" ht="17.15" hidden="false" customHeight="false" outlineLevel="0" collapsed="false">
      <c r="A123" s="30" t="s">
        <v>287</v>
      </c>
      <c r="B123" s="67" t="n">
        <f aca="false">($D$7)*2*(1)*$B$7*$C$7</f>
        <v>35389440</v>
      </c>
      <c r="C123" s="67" t="n">
        <f aca="false">($D$7)*2*(1)*$B$7*$C$7</f>
        <v>35389440</v>
      </c>
      <c r="D123" s="67" t="n">
        <f aca="false">($D$7)*2*(1)*$B$7*$C$7</f>
        <v>35389440</v>
      </c>
      <c r="E123" s="67" t="n">
        <f aca="false">($D$7)*2*(1)*$B$7*$C$7</f>
        <v>35389440</v>
      </c>
      <c r="F123" s="67" t="n">
        <f aca="false">($D$7)*2*(1)*$B$7*$C$7</f>
        <v>35389440</v>
      </c>
      <c r="G123" s="67" t="n">
        <f aca="false">($D$7)*2*(1)*$B$7*$C$7</f>
        <v>35389440</v>
      </c>
      <c r="H123" s="67" t="n">
        <f aca="false">($D$7)*2*(1)*$B$7*$C$7</f>
        <v>35389440</v>
      </c>
      <c r="I123" s="2"/>
    </row>
    <row r="124" customFormat="false" ht="17.15" hidden="false" customHeight="false" outlineLevel="0" collapsed="false">
      <c r="A124" s="30" t="s">
        <v>288</v>
      </c>
      <c r="B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9164544</v>
      </c>
      <c r="C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9164544</v>
      </c>
      <c r="D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9164544</v>
      </c>
      <c r="E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9164544</v>
      </c>
      <c r="F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9164544</v>
      </c>
      <c r="G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9164544</v>
      </c>
      <c r="H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9164544</v>
      </c>
      <c r="I124" s="2"/>
    </row>
    <row r="125" customFormat="false" ht="17.15" hidden="false" customHeight="false" outlineLevel="0" collapsed="false">
      <c r="A125" s="30" t="s">
        <v>289</v>
      </c>
      <c r="B125" s="68" t="n">
        <f aca="false">MAX(B123/$I$7,B124/설정!$B$60)*1000</f>
        <v>0.179696941176471</v>
      </c>
      <c r="C125" s="68" t="n">
        <f aca="false">MAX(C123/$I$7,C124/설정!$B$60)*1000</f>
        <v>0.179696941176471</v>
      </c>
      <c r="D125" s="68" t="n">
        <f aca="false">MAX(D123/$I$7,D124/설정!$B$60)*1000</f>
        <v>0.179696941176471</v>
      </c>
      <c r="E125" s="68" t="n">
        <f aca="false">MAX(E123/$I$7,E124/설정!$B$60)*1000</f>
        <v>0.179696941176471</v>
      </c>
      <c r="F125" s="68" t="n">
        <f aca="false">MAX(F123/$I$7,F124/설정!$B$60)*1000</f>
        <v>0.179696941176471</v>
      </c>
      <c r="G125" s="68" t="n">
        <f aca="false">MAX(G123/$I$7,G124/설정!$B$60)*1000</f>
        <v>0.179696941176471</v>
      </c>
      <c r="H125" s="68" t="n">
        <f aca="false">MAX(H123/$I$7,H124/설정!$B$60)*1000</f>
        <v>0.179696941176471</v>
      </c>
      <c r="I125" s="2"/>
    </row>
    <row r="126" customFormat="false" ht="17.15" hidden="false" customHeight="false" outlineLevel="0" collapsed="false">
      <c r="A126" s="30" t="s">
        <v>290</v>
      </c>
      <c r="B126" s="67" t="n">
        <f aca="false">($D$8)*2*(1)*$B$8*$C$8</f>
        <v>283115520</v>
      </c>
      <c r="C126" s="67" t="n">
        <f aca="false">($D$8)*2*(1)*$B$8*$C$8</f>
        <v>283115520</v>
      </c>
      <c r="D126" s="67" t="n">
        <f aca="false">($D$8)*2*(1)*$B$8*$C$8</f>
        <v>283115520</v>
      </c>
      <c r="E126" s="67" t="n">
        <f aca="false">($D$8)*2*(1)*$B$8*$C$8</f>
        <v>283115520</v>
      </c>
      <c r="F126" s="67" t="n">
        <f aca="false">($D$8)*2*(1)*$B$8*$C$8</f>
        <v>283115520</v>
      </c>
      <c r="G126" s="67" t="n">
        <f aca="false">($D$8)*2*(1)*$B$8*$C$8</f>
        <v>283115520</v>
      </c>
      <c r="H126" s="67" t="n">
        <f aca="false">($D$8)*2*(1)*$B$8*$C$8</f>
        <v>283115520</v>
      </c>
      <c r="I126" s="2"/>
    </row>
    <row r="127" customFormat="false" ht="17.15" hidden="false" customHeight="false" outlineLevel="0" collapsed="false">
      <c r="A127" s="30" t="s">
        <v>291</v>
      </c>
      <c r="B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73074432</v>
      </c>
      <c r="C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73074432</v>
      </c>
      <c r="D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73074432</v>
      </c>
      <c r="E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73074432</v>
      </c>
      <c r="F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73074432</v>
      </c>
      <c r="G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73074432</v>
      </c>
      <c r="H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73074432</v>
      </c>
      <c r="I127" s="2"/>
    </row>
    <row r="128" customFormat="false" ht="17.15" hidden="false" customHeight="false" outlineLevel="0" collapsed="false">
      <c r="A128" s="30" t="s">
        <v>292</v>
      </c>
      <c r="B128" s="68" t="n">
        <f aca="false">MAX(B126/$I$8,B127/설정!$B$60)*1000</f>
        <v>1.432832</v>
      </c>
      <c r="C128" s="68" t="n">
        <f aca="false">MAX(C126/$I$8,C127/설정!$B$60)*1000</f>
        <v>1.432832</v>
      </c>
      <c r="D128" s="68" t="n">
        <f aca="false">MAX(D126/$I$8,D127/설정!$B$60)*1000</f>
        <v>1.432832</v>
      </c>
      <c r="E128" s="68" t="n">
        <f aca="false">MAX(E126/$I$8,E127/설정!$B$60)*1000</f>
        <v>1.432832</v>
      </c>
      <c r="F128" s="68" t="n">
        <f aca="false">MAX(F126/$I$8,F127/설정!$B$60)*1000</f>
        <v>1.432832</v>
      </c>
      <c r="G128" s="68" t="n">
        <f aca="false">MAX(G126/$I$8,G127/설정!$B$60)*1000</f>
        <v>1.432832</v>
      </c>
      <c r="H128" s="68" t="n">
        <f aca="false">MAX(H126/$I$8,H127/설정!$B$60)*1000</f>
        <v>1.432832</v>
      </c>
      <c r="I128" s="2"/>
    </row>
    <row r="129" customFormat="false" ht="17.15" hidden="false" customHeight="false" outlineLevel="0" collapsed="false">
      <c r="A129" s="30" t="s">
        <v>293</v>
      </c>
      <c r="B129" s="67" t="n">
        <f aca="false">($D$9)*2*(1)*$B$9*$C$9</f>
        <v>283115520</v>
      </c>
      <c r="C129" s="67" t="n">
        <f aca="false">($D$9)*2*(1)*$B$9*$C$9</f>
        <v>283115520</v>
      </c>
      <c r="D129" s="67" t="n">
        <f aca="false">($D$9)*2*(1)*$B$9*$C$9</f>
        <v>283115520</v>
      </c>
      <c r="E129" s="67" t="n">
        <f aca="false">($D$9)*2*(1)*$B$9*$C$9</f>
        <v>283115520</v>
      </c>
      <c r="F129" s="67" t="n">
        <f aca="false">($D$9)*2*(1)*$B$9*$C$9</f>
        <v>283115520</v>
      </c>
      <c r="G129" s="67" t="n">
        <f aca="false">($D$9)*2*(1)*$B$9*$C$9</f>
        <v>283115520</v>
      </c>
      <c r="H129" s="67" t="n">
        <f aca="false">($D$9)*2*(1)*$B$9*$C$9</f>
        <v>283115520</v>
      </c>
      <c r="I129" s="2"/>
    </row>
    <row r="130" customFormat="false" ht="17.15" hidden="false" customHeight="false" outlineLevel="0" collapsed="false">
      <c r="A130" s="30" t="s">
        <v>294</v>
      </c>
      <c r="B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73074432</v>
      </c>
      <c r="C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73074432</v>
      </c>
      <c r="D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73074432</v>
      </c>
      <c r="E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73074432</v>
      </c>
      <c r="F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73074432</v>
      </c>
      <c r="G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73074432</v>
      </c>
      <c r="H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73074432</v>
      </c>
      <c r="I130" s="2"/>
    </row>
    <row r="131" customFormat="false" ht="17.15" hidden="false" customHeight="false" outlineLevel="0" collapsed="false">
      <c r="A131" s="30" t="s">
        <v>295</v>
      </c>
      <c r="B131" s="68" t="n">
        <f aca="false">MAX(B129/$I$9,B130/설정!$B$60)*1000</f>
        <v>1.432832</v>
      </c>
      <c r="C131" s="68" t="n">
        <f aca="false">MAX(C129/$I$9,C130/설정!$B$60)*1000</f>
        <v>1.432832</v>
      </c>
      <c r="D131" s="68" t="n">
        <f aca="false">MAX(D129/$I$9,D130/설정!$B$60)*1000</f>
        <v>1.432832</v>
      </c>
      <c r="E131" s="68" t="n">
        <f aca="false">MAX(E129/$I$9,E130/설정!$B$60)*1000</f>
        <v>1.432832</v>
      </c>
      <c r="F131" s="68" t="n">
        <f aca="false">MAX(F129/$I$9,F130/설정!$B$60)*1000</f>
        <v>1.432832</v>
      </c>
      <c r="G131" s="68" t="n">
        <f aca="false">MAX(G129/$I$9,G130/설정!$B$60)*1000</f>
        <v>1.432832</v>
      </c>
      <c r="H131" s="68" t="n">
        <f aca="false">MAX(H129/$I$9,H130/설정!$B$60)*1000</f>
        <v>1.432832</v>
      </c>
      <c r="I131" s="2"/>
    </row>
    <row r="132" customFormat="false" ht="17.15" hidden="false" customHeight="false" outlineLevel="0" collapsed="false">
      <c r="A132" s="30" t="s">
        <v>296</v>
      </c>
      <c r="B132" s="67" t="n">
        <f aca="false">($D$10)*2*(1)*$B$10*$C$10</f>
        <v>35389440</v>
      </c>
      <c r="C132" s="67" t="n">
        <f aca="false">($D$10)*2*(1)*$B$10*$C$10</f>
        <v>35389440</v>
      </c>
      <c r="D132" s="67" t="n">
        <f aca="false">($D$10)*2*(1)*$B$10*$C$10</f>
        <v>35389440</v>
      </c>
      <c r="E132" s="67" t="n">
        <f aca="false">($D$10)*2*(1)*$B$10*$C$10</f>
        <v>35389440</v>
      </c>
      <c r="F132" s="67" t="n">
        <f aca="false">($D$10)*2*(1)*$B$10*$C$10</f>
        <v>35389440</v>
      </c>
      <c r="G132" s="67" t="n">
        <f aca="false">($D$10)*2*(1)*$B$10*$C$10</f>
        <v>35389440</v>
      </c>
      <c r="H132" s="67" t="n">
        <f aca="false">($D$10)*2*(1)*$B$10*$C$10</f>
        <v>35389440</v>
      </c>
      <c r="I132" s="2"/>
    </row>
    <row r="133" customFormat="false" ht="17.15" hidden="false" customHeight="false" outlineLevel="0" collapsed="false">
      <c r="A133" s="30" t="s">
        <v>297</v>
      </c>
      <c r="B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9164544</v>
      </c>
      <c r="C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9164544</v>
      </c>
      <c r="D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9164544</v>
      </c>
      <c r="E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9164544</v>
      </c>
      <c r="F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9164544</v>
      </c>
      <c r="G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9164544</v>
      </c>
      <c r="H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9164544</v>
      </c>
      <c r="I133" s="2"/>
    </row>
    <row r="134" customFormat="false" ht="17.15" hidden="false" customHeight="false" outlineLevel="0" collapsed="false">
      <c r="A134" s="30" t="s">
        <v>298</v>
      </c>
      <c r="B134" s="68" t="n">
        <f aca="false">MAX(B132/$I$10,B133/설정!$B$60)*1000</f>
        <v>0.179696941176471</v>
      </c>
      <c r="C134" s="68" t="n">
        <f aca="false">MAX(C132/$I$10,C133/설정!$B$60)*1000</f>
        <v>0.179696941176471</v>
      </c>
      <c r="D134" s="68" t="n">
        <f aca="false">MAX(D132/$I$10,D133/설정!$B$60)*1000</f>
        <v>0.179696941176471</v>
      </c>
      <c r="E134" s="68" t="n">
        <f aca="false">MAX(E132/$I$10,E133/설정!$B$60)*1000</f>
        <v>0.179696941176471</v>
      </c>
      <c r="F134" s="68" t="n">
        <f aca="false">MAX(F132/$I$10,F133/설정!$B$60)*1000</f>
        <v>0.179696941176471</v>
      </c>
      <c r="G134" s="68" t="n">
        <f aca="false">MAX(G132/$I$10,G133/설정!$B$60)*1000</f>
        <v>0.179696941176471</v>
      </c>
      <c r="H134" s="68" t="n">
        <f aca="false">MAX(H132/$I$10,H133/설정!$B$60)*1000</f>
        <v>0.179696941176471</v>
      </c>
      <c r="I134" s="2"/>
    </row>
    <row r="135" customFormat="false" ht="17.15" hidden="false" customHeight="false" outlineLevel="0" collapsed="false">
      <c r="A135" s="30" t="s">
        <v>299</v>
      </c>
      <c r="B135" s="67" t="n">
        <f aca="false">($D$11)*2*(1)*$B$11*$C$11</f>
        <v>35389440</v>
      </c>
      <c r="C135" s="67" t="n">
        <f aca="false">($D$11)*2*(1)*$B$11*$C$11</f>
        <v>35389440</v>
      </c>
      <c r="D135" s="67" t="n">
        <f aca="false">($D$11)*2*(1)*$B$11*$C$11</f>
        <v>35389440</v>
      </c>
      <c r="E135" s="67" t="n">
        <f aca="false">($D$11)*2*(1)*$B$11*$C$11</f>
        <v>35389440</v>
      </c>
      <c r="F135" s="67" t="n">
        <f aca="false">($D$11)*2*(1)*$B$11*$C$11</f>
        <v>35389440</v>
      </c>
      <c r="G135" s="67" t="n">
        <f aca="false">($D$11)*2*(1)*$B$11*$C$11</f>
        <v>35389440</v>
      </c>
      <c r="H135" s="67" t="n">
        <f aca="false">($D$11)*2*(1)*$B$11*$C$11</f>
        <v>35389440</v>
      </c>
      <c r="I135" s="2"/>
    </row>
    <row r="136" customFormat="false" ht="17.15" hidden="false" customHeight="false" outlineLevel="0" collapsed="false">
      <c r="A136" s="30" t="s">
        <v>300</v>
      </c>
      <c r="B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9164544</v>
      </c>
      <c r="C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9164544</v>
      </c>
      <c r="D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9164544</v>
      </c>
      <c r="E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9164544</v>
      </c>
      <c r="F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9164544</v>
      </c>
      <c r="G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9164544</v>
      </c>
      <c r="H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9164544</v>
      </c>
      <c r="I136" s="2"/>
    </row>
    <row r="137" customFormat="false" ht="17.15" hidden="false" customHeight="false" outlineLevel="0" collapsed="false">
      <c r="A137" s="30" t="s">
        <v>301</v>
      </c>
      <c r="B137" s="68" t="n">
        <f aca="false">MAX(B135/$I$11,B136/설정!$B$60)*1000</f>
        <v>0.179696941176471</v>
      </c>
      <c r="C137" s="68" t="n">
        <f aca="false">MAX(C135/$I$11,C136/설정!$B$60)*1000</f>
        <v>0.179696941176471</v>
      </c>
      <c r="D137" s="68" t="n">
        <f aca="false">MAX(D135/$I$11,D136/설정!$B$60)*1000</f>
        <v>0.179696941176471</v>
      </c>
      <c r="E137" s="68" t="n">
        <f aca="false">MAX(E135/$I$11,E136/설정!$B$60)*1000</f>
        <v>0.179696941176471</v>
      </c>
      <c r="F137" s="68" t="n">
        <f aca="false">MAX(F135/$I$11,F136/설정!$B$60)*1000</f>
        <v>0.179696941176471</v>
      </c>
      <c r="G137" s="68" t="n">
        <f aca="false">MAX(G135/$I$11,G136/설정!$B$60)*1000</f>
        <v>0.179696941176471</v>
      </c>
      <c r="H137" s="68" t="n">
        <f aca="false">MAX(H135/$I$11,H136/설정!$B$60)*1000</f>
        <v>0.179696941176471</v>
      </c>
      <c r="I137" s="2"/>
    </row>
    <row r="138" customFormat="false" ht="17.15" hidden="false" customHeight="false" outlineLevel="0" collapsed="false">
      <c r="A138" s="30" t="s">
        <v>302</v>
      </c>
      <c r="B138" s="67" t="n">
        <f aca="false">($D$12)*2*(1)*$B$12*$C$12</f>
        <v>283115520</v>
      </c>
      <c r="C138" s="67" t="n">
        <f aca="false">($D$12)*2*(1)*$B$12*$C$12</f>
        <v>283115520</v>
      </c>
      <c r="D138" s="67" t="n">
        <f aca="false">($D$12)*2*(1)*$B$12*$C$12</f>
        <v>283115520</v>
      </c>
      <c r="E138" s="67" t="n">
        <f aca="false">($D$12)*2*(1)*$B$12*$C$12</f>
        <v>283115520</v>
      </c>
      <c r="F138" s="67" t="n">
        <f aca="false">($D$12)*2*(1)*$B$12*$C$12</f>
        <v>283115520</v>
      </c>
      <c r="G138" s="67" t="n">
        <f aca="false">($D$12)*2*(1)*$B$12*$C$12</f>
        <v>283115520</v>
      </c>
      <c r="H138" s="67" t="n">
        <f aca="false">($D$12)*2*(1)*$B$12*$C$12</f>
        <v>283115520</v>
      </c>
      <c r="I138" s="2"/>
    </row>
    <row r="139" customFormat="false" ht="17.15" hidden="false" customHeight="false" outlineLevel="0" collapsed="false">
      <c r="A139" s="30" t="s">
        <v>303</v>
      </c>
      <c r="B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73074432</v>
      </c>
      <c r="C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73074432</v>
      </c>
      <c r="D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73074432</v>
      </c>
      <c r="E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73074432</v>
      </c>
      <c r="F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73074432</v>
      </c>
      <c r="G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73074432</v>
      </c>
      <c r="H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73074432</v>
      </c>
      <c r="I139" s="2"/>
    </row>
    <row r="140" customFormat="false" ht="17.15" hidden="false" customHeight="false" outlineLevel="0" collapsed="false">
      <c r="A140" s="30" t="s">
        <v>304</v>
      </c>
      <c r="B140" s="68" t="n">
        <f aca="false">MAX(B138/$I$12,B139/설정!$B$60)*1000</f>
        <v>1.432832</v>
      </c>
      <c r="C140" s="68" t="n">
        <f aca="false">MAX(C138/$I$12,C139/설정!$B$60)*1000</f>
        <v>1.432832</v>
      </c>
      <c r="D140" s="68" t="n">
        <f aca="false">MAX(D138/$I$12,D139/설정!$B$60)*1000</f>
        <v>1.432832</v>
      </c>
      <c r="E140" s="68" t="n">
        <f aca="false">MAX(E138/$I$12,E139/설정!$B$60)*1000</f>
        <v>1.432832</v>
      </c>
      <c r="F140" s="68" t="n">
        <f aca="false">MAX(F138/$I$12,F139/설정!$B$60)*1000</f>
        <v>1.432832</v>
      </c>
      <c r="G140" s="68" t="n">
        <f aca="false">MAX(G138/$I$12,G139/설정!$B$60)*1000</f>
        <v>1.432832</v>
      </c>
      <c r="H140" s="68" t="n">
        <f aca="false">MAX(H138/$I$12,H139/설정!$B$60)*1000</f>
        <v>1.432832</v>
      </c>
      <c r="I140" s="2"/>
    </row>
    <row r="141" customFormat="false" ht="17.15" hidden="false" customHeight="false" outlineLevel="0" collapsed="false">
      <c r="A141" s="30" t="s">
        <v>305</v>
      </c>
      <c r="B141" s="67" t="n">
        <f aca="false">($D$13)*2*(1)*$B$13*$C$13</f>
        <v>0</v>
      </c>
      <c r="C141" s="67" t="n">
        <f aca="false">($D$13)*2*(1)*$B$13*$C$13</f>
        <v>0</v>
      </c>
      <c r="D141" s="67" t="n">
        <f aca="false">($D$13)*2*(1)*$B$13*$C$13</f>
        <v>0</v>
      </c>
      <c r="E141" s="67" t="n">
        <f aca="false">($D$13)*2*(1)*$B$13*$C$13</f>
        <v>0</v>
      </c>
      <c r="F141" s="67" t="n">
        <f aca="false">($D$13)*2*(1)*$B$13*$C$13</f>
        <v>0</v>
      </c>
      <c r="G141" s="67" t="n">
        <f aca="false">($D$13)*2*(1)*$B$13*$C$13</f>
        <v>0</v>
      </c>
      <c r="H141" s="67" t="n">
        <f aca="false">($D$13)*2*(1)*$B$13*$C$13</f>
        <v>0</v>
      </c>
      <c r="I141" s="2"/>
    </row>
    <row r="142" customFormat="false" ht="17.15" hidden="false" customHeight="false" outlineLevel="0" collapsed="false">
      <c r="A142" s="30" t="s">
        <v>306</v>
      </c>
      <c r="B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C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D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E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F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G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H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I142" s="2"/>
    </row>
    <row r="143" customFormat="false" ht="17.15" hidden="false" customHeight="false" outlineLevel="0" collapsed="false">
      <c r="A143" s="30" t="s">
        <v>307</v>
      </c>
      <c r="B143" s="68" t="n">
        <f aca="false">MAX(B141/$I$13,B142/설정!$B$60)*1000</f>
        <v>0</v>
      </c>
      <c r="C143" s="68" t="n">
        <f aca="false">MAX(C141/$I$13,C142/설정!$B$60)*1000</f>
        <v>0</v>
      </c>
      <c r="D143" s="68" t="n">
        <f aca="false">MAX(D141/$I$13,D142/설정!$B$60)*1000</f>
        <v>0</v>
      </c>
      <c r="E143" s="68" t="n">
        <f aca="false">MAX(E141/$I$13,E142/설정!$B$60)*1000</f>
        <v>0</v>
      </c>
      <c r="F143" s="68" t="n">
        <f aca="false">MAX(F141/$I$13,F142/설정!$B$60)*1000</f>
        <v>0</v>
      </c>
      <c r="G143" s="68" t="n">
        <f aca="false">MAX(G141/$I$13,G142/설정!$B$60)*1000</f>
        <v>0</v>
      </c>
      <c r="H143" s="68" t="n">
        <f aca="false">MAX(H141/$I$13,H142/설정!$B$60)*1000</f>
        <v>0</v>
      </c>
      <c r="I143" s="2"/>
    </row>
    <row r="144" customFormat="false" ht="17.15" hidden="false" customHeight="false" outlineLevel="0" collapsed="false">
      <c r="A144" s="30" t="s">
        <v>308</v>
      </c>
      <c r="B144" s="67" t="n">
        <f aca="false">($D$14)*2*(1)*$B$14*$C$14</f>
        <v>0</v>
      </c>
      <c r="C144" s="67" t="n">
        <f aca="false">($D$14)*2*(1)*$B$14*$C$14</f>
        <v>0</v>
      </c>
      <c r="D144" s="67" t="n">
        <f aca="false">($D$14)*2*(1)*$B$14*$C$14</f>
        <v>0</v>
      </c>
      <c r="E144" s="67" t="n">
        <f aca="false">($D$14)*2*(1)*$B$14*$C$14</f>
        <v>0</v>
      </c>
      <c r="F144" s="67" t="n">
        <f aca="false">($D$14)*2*(1)*$B$14*$C$14</f>
        <v>0</v>
      </c>
      <c r="G144" s="67" t="n">
        <f aca="false">($D$14)*2*(1)*$B$14*$C$14</f>
        <v>0</v>
      </c>
      <c r="H144" s="67" t="n">
        <f aca="false">($D$14)*2*(1)*$B$14*$C$14</f>
        <v>0</v>
      </c>
      <c r="I144" s="2"/>
    </row>
    <row r="145" customFormat="false" ht="17.15" hidden="false" customHeight="false" outlineLevel="0" collapsed="false">
      <c r="A145" s="30" t="s">
        <v>309</v>
      </c>
      <c r="B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C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D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E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F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G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H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I145" s="2"/>
    </row>
    <row r="146" customFormat="false" ht="17.15" hidden="false" customHeight="false" outlineLevel="0" collapsed="false">
      <c r="A146" s="30" t="s">
        <v>310</v>
      </c>
      <c r="B146" s="68" t="n">
        <f aca="false">MAX(B144/$I$14,B145/설정!$B$60)*1000</f>
        <v>0</v>
      </c>
      <c r="C146" s="68" t="n">
        <f aca="false">MAX(C144/$I$14,C145/설정!$B$60)*1000</f>
        <v>0</v>
      </c>
      <c r="D146" s="68" t="n">
        <f aca="false">MAX(D144/$I$14,D145/설정!$B$60)*1000</f>
        <v>0</v>
      </c>
      <c r="E146" s="68" t="n">
        <f aca="false">MAX(E144/$I$14,E145/설정!$B$60)*1000</f>
        <v>0</v>
      </c>
      <c r="F146" s="68" t="n">
        <f aca="false">MAX(F144/$I$14,F145/설정!$B$60)*1000</f>
        <v>0</v>
      </c>
      <c r="G146" s="68" t="n">
        <f aca="false">MAX(G144/$I$14,G145/설정!$B$60)*1000</f>
        <v>0</v>
      </c>
      <c r="H146" s="68" t="n">
        <f aca="false">MAX(H144/$I$14,H145/설정!$B$60)*1000</f>
        <v>0</v>
      </c>
      <c r="I146" s="2"/>
    </row>
    <row r="147" customFormat="false" ht="17.15" hidden="false" customHeight="false" outlineLevel="0" collapsed="false">
      <c r="A147" s="30" t="s">
        <v>311</v>
      </c>
      <c r="B147" s="67" t="n">
        <f aca="false">($D$15)*2*(1)*$B$15*$C$15</f>
        <v>0</v>
      </c>
      <c r="C147" s="67" t="n">
        <f aca="false">($D$15)*2*(1)*$B$15*$C$15</f>
        <v>0</v>
      </c>
      <c r="D147" s="67" t="n">
        <f aca="false">($D$15)*2*(1)*$B$15*$C$15</f>
        <v>0</v>
      </c>
      <c r="E147" s="67" t="n">
        <f aca="false">($D$15)*2*(1)*$B$15*$C$15</f>
        <v>0</v>
      </c>
      <c r="F147" s="67" t="n">
        <f aca="false">($D$15)*2*(1)*$B$15*$C$15</f>
        <v>0</v>
      </c>
      <c r="G147" s="67" t="n">
        <f aca="false">($D$15)*2*(1)*$B$15*$C$15</f>
        <v>0</v>
      </c>
      <c r="H147" s="67" t="n">
        <f aca="false">($D$15)*2*(1)*$B$15*$C$15</f>
        <v>0</v>
      </c>
      <c r="I147" s="2"/>
    </row>
    <row r="148" customFormat="false" ht="17.15" hidden="false" customHeight="false" outlineLevel="0" collapsed="false">
      <c r="A148" s="30" t="s">
        <v>312</v>
      </c>
      <c r="B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C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D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E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F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G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H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I148" s="2"/>
    </row>
    <row r="149" customFormat="false" ht="17.15" hidden="false" customHeight="false" outlineLevel="0" collapsed="false">
      <c r="A149" s="30" t="s">
        <v>313</v>
      </c>
      <c r="B149" s="68" t="n">
        <f aca="false">MAX(B147/$I$15,B148/설정!$B$60)*1000</f>
        <v>0</v>
      </c>
      <c r="C149" s="68" t="n">
        <f aca="false">MAX(C147/$I$15,C148/설정!$B$60)*1000</f>
        <v>0</v>
      </c>
      <c r="D149" s="68" t="n">
        <f aca="false">MAX(D147/$I$15,D148/설정!$B$60)*1000</f>
        <v>0</v>
      </c>
      <c r="E149" s="68" t="n">
        <f aca="false">MAX(E147/$I$15,E148/설정!$B$60)*1000</f>
        <v>0</v>
      </c>
      <c r="F149" s="68" t="n">
        <f aca="false">MAX(F147/$I$15,F148/설정!$B$60)*1000</f>
        <v>0</v>
      </c>
      <c r="G149" s="68" t="n">
        <f aca="false">MAX(G147/$I$15,G148/설정!$B$60)*1000</f>
        <v>0</v>
      </c>
      <c r="H149" s="68" t="n">
        <f aca="false">MAX(H147/$I$15,H148/설정!$B$60)*1000</f>
        <v>0</v>
      </c>
      <c r="I149" s="2"/>
    </row>
    <row r="150" customFormat="false" ht="17.15" hidden="false" customHeight="false" outlineLevel="0" collapsed="false">
      <c r="A150" s="30" t="s">
        <v>314</v>
      </c>
      <c r="B150" s="67" t="n">
        <f aca="false">($D$16)*2*(1)*$B$16*$C$16</f>
        <v>0</v>
      </c>
      <c r="C150" s="67" t="n">
        <f aca="false">($D$16)*2*(1)*$B$16*$C$16</f>
        <v>0</v>
      </c>
      <c r="D150" s="67" t="n">
        <f aca="false">($D$16)*2*(1)*$B$16*$C$16</f>
        <v>0</v>
      </c>
      <c r="E150" s="67" t="n">
        <f aca="false">($D$16)*2*(1)*$B$16*$C$16</f>
        <v>0</v>
      </c>
      <c r="F150" s="67" t="n">
        <f aca="false">($D$16)*2*(1)*$B$16*$C$16</f>
        <v>0</v>
      </c>
      <c r="G150" s="67" t="n">
        <f aca="false">($D$16)*2*(1)*$B$16*$C$16</f>
        <v>0</v>
      </c>
      <c r="H150" s="67" t="n">
        <f aca="false">($D$16)*2*(1)*$B$16*$C$16</f>
        <v>0</v>
      </c>
      <c r="I150" s="2"/>
    </row>
    <row r="151" customFormat="false" ht="17.15" hidden="false" customHeight="false" outlineLevel="0" collapsed="false">
      <c r="A151" s="30" t="s">
        <v>315</v>
      </c>
      <c r="B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C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D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E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F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G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H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I151" s="2"/>
    </row>
    <row r="152" customFormat="false" ht="17.15" hidden="false" customHeight="false" outlineLevel="0" collapsed="false">
      <c r="A152" s="30" t="s">
        <v>316</v>
      </c>
      <c r="B152" s="68" t="n">
        <f aca="false">MAX(B150/$I$16,B151/설정!$B$60)*1000</f>
        <v>0</v>
      </c>
      <c r="C152" s="68" t="n">
        <f aca="false">MAX(C150/$I$16,C151/설정!$B$60)*1000</f>
        <v>0</v>
      </c>
      <c r="D152" s="68" t="n">
        <f aca="false">MAX(D150/$I$16,D151/설정!$B$60)*1000</f>
        <v>0</v>
      </c>
      <c r="E152" s="68" t="n">
        <f aca="false">MAX(E150/$I$16,E151/설정!$B$60)*1000</f>
        <v>0</v>
      </c>
      <c r="F152" s="68" t="n">
        <f aca="false">MAX(F150/$I$16,F151/설정!$B$60)*1000</f>
        <v>0</v>
      </c>
      <c r="G152" s="68" t="n">
        <f aca="false">MAX(G150/$I$16,G151/설정!$B$60)*1000</f>
        <v>0</v>
      </c>
      <c r="H152" s="68" t="n">
        <f aca="false">MAX(H150/$I$16,H151/설정!$B$60)*1000</f>
        <v>0</v>
      </c>
      <c r="I152" s="2"/>
    </row>
    <row r="153" customFormat="false" ht="17.15" hidden="false" customHeight="false" outlineLevel="0" collapsed="false">
      <c r="A153" s="30" t="s">
        <v>317</v>
      </c>
      <c r="B153" s="67" t="n">
        <f aca="false">($D$17)*2*(1)*$B$17*$C$17</f>
        <v>4423680</v>
      </c>
      <c r="C153" s="67" t="n">
        <f aca="false">($D$17)*2*(1)*$B$17*$C$17</f>
        <v>4423680</v>
      </c>
      <c r="D153" s="67" t="n">
        <f aca="false">($D$17)*2*(1)*$B$17*$C$17</f>
        <v>4423680</v>
      </c>
      <c r="E153" s="67" t="n">
        <f aca="false">($D$17)*2*(1)*$B$17*$C$17</f>
        <v>4423680</v>
      </c>
      <c r="F153" s="67" t="n">
        <f aca="false">($D$17)*2*(1)*$B$17*$C$17</f>
        <v>4423680</v>
      </c>
      <c r="G153" s="67" t="n">
        <f aca="false">($D$17)*2*(1)*$B$17*$C$17</f>
        <v>4423680</v>
      </c>
      <c r="H153" s="67" t="n">
        <f aca="false">($D$17)*2*(1)*$B$17*$C$17</f>
        <v>4423680</v>
      </c>
      <c r="I153" s="2"/>
    </row>
    <row r="154" customFormat="false" ht="17.15" hidden="false" customHeight="false" outlineLevel="0" collapsed="false">
      <c r="A154" s="30" t="s">
        <v>318</v>
      </c>
      <c r="B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2316288</v>
      </c>
      <c r="C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2316288</v>
      </c>
      <c r="D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2316288</v>
      </c>
      <c r="E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2316288</v>
      </c>
      <c r="F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2316288</v>
      </c>
      <c r="G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2316288</v>
      </c>
      <c r="H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2316288</v>
      </c>
      <c r="I154" s="2"/>
    </row>
    <row r="155" customFormat="false" ht="17.15" hidden="false" customHeight="false" outlineLevel="0" collapsed="false">
      <c r="A155" s="30" t="s">
        <v>319</v>
      </c>
      <c r="B155" s="68" t="n">
        <f aca="false">MAX(B153/$I$17,B154/설정!$B$60)*1000</f>
        <v>0.0454174117647059</v>
      </c>
      <c r="C155" s="68" t="n">
        <f aca="false">MAX(C153/$I$17,C154/설정!$B$60)*1000</f>
        <v>0.0454174117647059</v>
      </c>
      <c r="D155" s="68" t="n">
        <f aca="false">MAX(D153/$I$17,D154/설정!$B$60)*1000</f>
        <v>0.0454174117647059</v>
      </c>
      <c r="E155" s="68" t="n">
        <f aca="false">MAX(E153/$I$17,E154/설정!$B$60)*1000</f>
        <v>0.0454174117647059</v>
      </c>
      <c r="F155" s="68" t="n">
        <f aca="false">MAX(F153/$I$17,F154/설정!$B$60)*1000</f>
        <v>0.0454174117647059</v>
      </c>
      <c r="G155" s="68" t="n">
        <f aca="false">MAX(G153/$I$17,G154/설정!$B$60)*1000</f>
        <v>0.0454174117647059</v>
      </c>
      <c r="H155" s="68" t="n">
        <f aca="false">MAX(H153/$I$17,H154/설정!$B$60)*1000</f>
        <v>0.0454174117647059</v>
      </c>
      <c r="I155" s="2"/>
    </row>
    <row r="156" customFormat="false" ht="17.15" hidden="false" customHeight="false" outlineLevel="0" collapsed="false">
      <c r="A156" s="30" t="s">
        <v>320</v>
      </c>
      <c r="B156" s="67" t="n">
        <f aca="false">($D$18)*2*(1)*$B$18*$C$18</f>
        <v>0</v>
      </c>
      <c r="C156" s="67" t="n">
        <f aca="false">($D$18)*2*(1)*$B$18*$C$18</f>
        <v>0</v>
      </c>
      <c r="D156" s="67" t="n">
        <f aca="false">($D$18)*2*(1)*$B$18*$C$18</f>
        <v>0</v>
      </c>
      <c r="E156" s="67" t="n">
        <f aca="false">($D$18)*2*(1)*$B$18*$C$18</f>
        <v>0</v>
      </c>
      <c r="F156" s="67" t="n">
        <f aca="false">($D$18)*2*(1)*$B$18*$C$18</f>
        <v>0</v>
      </c>
      <c r="G156" s="67" t="n">
        <f aca="false">($D$18)*2*(1)*$B$18*$C$18</f>
        <v>0</v>
      </c>
      <c r="H156" s="67" t="n">
        <f aca="false">($D$18)*2*(1)*$B$18*$C$18</f>
        <v>0</v>
      </c>
      <c r="I156" s="2"/>
    </row>
    <row r="157" customFormat="false" ht="17.15" hidden="false" customHeight="false" outlineLevel="0" collapsed="false">
      <c r="A157" s="30" t="s">
        <v>321</v>
      </c>
      <c r="B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0</v>
      </c>
      <c r="C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0</v>
      </c>
      <c r="D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0</v>
      </c>
      <c r="E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0</v>
      </c>
      <c r="F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0</v>
      </c>
      <c r="G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0</v>
      </c>
      <c r="H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0</v>
      </c>
      <c r="I157" s="2"/>
    </row>
    <row r="158" customFormat="false" ht="17.15" hidden="false" customHeight="false" outlineLevel="0" collapsed="false">
      <c r="A158" s="30" t="s">
        <v>322</v>
      </c>
      <c r="B158" s="68" t="n">
        <f aca="false">MAX(B156/$I$18,B157/설정!$B$60)*1000</f>
        <v>0</v>
      </c>
      <c r="C158" s="68" t="n">
        <f aca="false">MAX(C156/$I$18,C157/설정!$B$60)*1000</f>
        <v>0</v>
      </c>
      <c r="D158" s="68" t="n">
        <f aca="false">MAX(D156/$I$18,D157/설정!$B$60)*1000</f>
        <v>0</v>
      </c>
      <c r="E158" s="68" t="n">
        <f aca="false">MAX(E156/$I$18,E157/설정!$B$60)*1000</f>
        <v>0</v>
      </c>
      <c r="F158" s="68" t="n">
        <f aca="false">MAX(F156/$I$18,F157/설정!$B$60)*1000</f>
        <v>0</v>
      </c>
      <c r="G158" s="68" t="n">
        <f aca="false">MAX(G156/$I$18,G157/설정!$B$60)*1000</f>
        <v>0</v>
      </c>
      <c r="H158" s="68" t="n">
        <f aca="false">MAX(H156/$I$18,H157/설정!$B$60)*1000</f>
        <v>0</v>
      </c>
      <c r="I158" s="2"/>
    </row>
    <row r="159" customFormat="false" ht="17.15" hidden="false" customHeight="false" outlineLevel="0" collapsed="false">
      <c r="A159" s="30" t="s">
        <v>323</v>
      </c>
      <c r="B159" s="67" t="n">
        <f aca="false">($D$19)*2*(1)*$B$19*$C$19</f>
        <v>0</v>
      </c>
      <c r="C159" s="67" t="n">
        <f aca="false">($D$19)*2*(1)*$B$19*$C$19</f>
        <v>0</v>
      </c>
      <c r="D159" s="67" t="n">
        <f aca="false">($D$19)*2*(1)*$B$19*$C$19</f>
        <v>0</v>
      </c>
      <c r="E159" s="67" t="n">
        <f aca="false">($D$19)*2*(1)*$B$19*$C$19</f>
        <v>0</v>
      </c>
      <c r="F159" s="67" t="n">
        <f aca="false">($D$19)*2*(1)*$B$19*$C$19</f>
        <v>0</v>
      </c>
      <c r="G159" s="67" t="n">
        <f aca="false">($D$19)*2*(1)*$B$19*$C$19</f>
        <v>0</v>
      </c>
      <c r="H159" s="67" t="n">
        <f aca="false">($D$19)*2*(1)*$B$19*$C$19</f>
        <v>0</v>
      </c>
      <c r="I159" s="2"/>
    </row>
    <row r="160" customFormat="false" ht="17.15" hidden="false" customHeight="false" outlineLevel="0" collapsed="false">
      <c r="A160" s="30" t="s">
        <v>324</v>
      </c>
      <c r="B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0</v>
      </c>
      <c r="C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0</v>
      </c>
      <c r="D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0</v>
      </c>
      <c r="E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0</v>
      </c>
      <c r="F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0</v>
      </c>
      <c r="G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0</v>
      </c>
      <c r="H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0</v>
      </c>
      <c r="I160" s="2"/>
    </row>
    <row r="161" customFormat="false" ht="17.15" hidden="false" customHeight="false" outlineLevel="0" collapsed="false">
      <c r="A161" s="30" t="s">
        <v>325</v>
      </c>
      <c r="B161" s="68" t="n">
        <f aca="false">MAX(B159/$I$19,B160/설정!$B$60)*1000</f>
        <v>0</v>
      </c>
      <c r="C161" s="68" t="n">
        <f aca="false">MAX(C159/$I$19,C160/설정!$B$60)*1000</f>
        <v>0</v>
      </c>
      <c r="D161" s="68" t="n">
        <f aca="false">MAX(D159/$I$19,D160/설정!$B$60)*1000</f>
        <v>0</v>
      </c>
      <c r="E161" s="68" t="n">
        <f aca="false">MAX(E159/$I$19,E160/설정!$B$60)*1000</f>
        <v>0</v>
      </c>
      <c r="F161" s="68" t="n">
        <f aca="false">MAX(F159/$I$19,F160/설정!$B$60)*1000</f>
        <v>0</v>
      </c>
      <c r="G161" s="68" t="n">
        <f aca="false">MAX(G159/$I$19,G160/설정!$B$60)*1000</f>
        <v>0</v>
      </c>
      <c r="H161" s="68" t="n">
        <f aca="false">MAX(H159/$I$19,H160/설정!$B$60)*1000</f>
        <v>0</v>
      </c>
      <c r="I161" s="2"/>
    </row>
    <row r="162" customFormat="false" ht="17.15" hidden="false" customHeight="false" outlineLevel="0" collapsed="false">
      <c r="A162" s="30" t="s">
        <v>326</v>
      </c>
      <c r="B162" s="67" t="n">
        <f aca="false">($D$20)*2*(1)*$B$20*$C$20</f>
        <v>0</v>
      </c>
      <c r="C162" s="67" t="n">
        <f aca="false">($D$20)*2*(1)*$B$20*$C$20</f>
        <v>0</v>
      </c>
      <c r="D162" s="67" t="n">
        <f aca="false">($D$20)*2*(1)*$B$20*$C$20</f>
        <v>0</v>
      </c>
      <c r="E162" s="67" t="n">
        <f aca="false">($D$20)*2*(1)*$B$20*$C$20</f>
        <v>0</v>
      </c>
      <c r="F162" s="67" t="n">
        <f aca="false">($D$20)*2*(1)*$B$20*$C$20</f>
        <v>0</v>
      </c>
      <c r="G162" s="67" t="n">
        <f aca="false">($D$20)*2*(1)*$B$20*$C$20</f>
        <v>0</v>
      </c>
      <c r="H162" s="67" t="n">
        <f aca="false">($D$20)*2*(1)*$B$20*$C$20</f>
        <v>0</v>
      </c>
      <c r="I162" s="2"/>
    </row>
    <row r="163" customFormat="false" ht="17.15" hidden="false" customHeight="false" outlineLevel="0" collapsed="false">
      <c r="A163" s="30" t="s">
        <v>327</v>
      </c>
      <c r="B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0</v>
      </c>
      <c r="C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0</v>
      </c>
      <c r="D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0</v>
      </c>
      <c r="E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0</v>
      </c>
      <c r="F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0</v>
      </c>
      <c r="G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0</v>
      </c>
      <c r="H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0</v>
      </c>
      <c r="I163" s="2"/>
    </row>
    <row r="164" customFormat="false" ht="17.15" hidden="false" customHeight="false" outlineLevel="0" collapsed="false">
      <c r="A164" s="30" t="s">
        <v>328</v>
      </c>
      <c r="B164" s="68" t="n">
        <f aca="false">MAX(B162/$I$20,B163/설정!$B$60)*1000</f>
        <v>0</v>
      </c>
      <c r="C164" s="68" t="n">
        <f aca="false">MAX(C162/$I$20,C163/설정!$B$60)*1000</f>
        <v>0</v>
      </c>
      <c r="D164" s="68" t="n">
        <f aca="false">MAX(D162/$I$20,D163/설정!$B$60)*1000</f>
        <v>0</v>
      </c>
      <c r="E164" s="68" t="n">
        <f aca="false">MAX(E162/$I$20,E163/설정!$B$60)*1000</f>
        <v>0</v>
      </c>
      <c r="F164" s="68" t="n">
        <f aca="false">MAX(F162/$I$20,F163/설정!$B$60)*1000</f>
        <v>0</v>
      </c>
      <c r="G164" s="68" t="n">
        <f aca="false">MAX(G162/$I$20,G163/설정!$B$60)*1000</f>
        <v>0</v>
      </c>
      <c r="H164" s="68" t="n">
        <f aca="false">MAX(H162/$I$20,H163/설정!$B$60)*1000</f>
        <v>0</v>
      </c>
      <c r="I164" s="2"/>
    </row>
    <row r="165" customFormat="false" ht="17.15" hidden="false" customHeight="false" outlineLevel="0" collapsed="false">
      <c r="A165" s="30" t="s">
        <v>329</v>
      </c>
      <c r="B165" s="67" t="n">
        <f aca="false">($D$21*모델!$C$37)*2*(1)*$B$21*$C$21</f>
        <v>1592524800</v>
      </c>
      <c r="C165" s="67" t="n">
        <f aca="false">($D$21*모델!$C$37)*2*(1)*$B$21*$C$21</f>
        <v>1592524800</v>
      </c>
      <c r="D165" s="67" t="n">
        <f aca="false">($D$21*모델!$C$37)*2*(1)*$B$21*$C$21</f>
        <v>1592524800</v>
      </c>
      <c r="E165" s="67" t="n">
        <f aca="false">($D$21*모델!$C$37)*2*(1)*$B$21*$C$21</f>
        <v>1592524800</v>
      </c>
      <c r="F165" s="67" t="n">
        <f aca="false">($D$21*모델!$C$37)*2*(1)*$B$21*$C$21</f>
        <v>1592524800</v>
      </c>
      <c r="G165" s="67" t="n">
        <f aca="false">($D$21*모델!$C$37)*2*(1)*$B$21*$C$21</f>
        <v>1592524800</v>
      </c>
      <c r="H165" s="67" t="n">
        <f aca="false">($D$21*모델!$C$37)*2*(1)*$B$21*$C$21</f>
        <v>1592524800</v>
      </c>
      <c r="I165" s="2"/>
    </row>
    <row r="166" customFormat="false" ht="17.15" hidden="false" customHeight="false" outlineLevel="0" collapsed="false">
      <c r="A166" s="30" t="s">
        <v>330</v>
      </c>
      <c r="B166" s="67" t="n">
        <f aca="false">($D$21*모델!$C$37)*MIN(($B$21*$C$21*$H$21)*MAX(1,ROUNDUP(((1)*$B$21*설정!$B$57)/설정!$B$61,0))+((1)*$B$21*설정!$B$57)+((1)*$C$21*설정!$B$57),($B$21*$C$21*$H$21)+((1)*$B$21*설정!$B$57)*MAX(1,ROUNDUP(($B$21*$C$21*$H$21)/설정!$B$61,0))+((1)*$C$21*설정!$B$57))</f>
        <v>411125760</v>
      </c>
      <c r="C166" s="67" t="n">
        <f aca="false">($D$21*모델!$C$37)*MIN(($B$21*$C$21*$H$21)*MAX(1,ROUNDUP(((1)*$B$21*설정!$B$57)/설정!$B$61,0))+((1)*$B$21*설정!$B$57)+((1)*$C$21*설정!$B$57),($B$21*$C$21*$H$21)+((1)*$B$21*설정!$B$57)*MAX(1,ROUNDUP(($B$21*$C$21*$H$21)/설정!$B$61,0))+((1)*$C$21*설정!$B$57))</f>
        <v>411125760</v>
      </c>
      <c r="D166" s="67" t="n">
        <f aca="false">($D$21*모델!$C$37)*MIN(($B$21*$C$21*$H$21)*MAX(1,ROUNDUP(((1)*$B$21*설정!$B$57)/설정!$B$61,0))+((1)*$B$21*설정!$B$57)+((1)*$C$21*설정!$B$57),($B$21*$C$21*$H$21)+((1)*$B$21*설정!$B$57)*MAX(1,ROUNDUP(($B$21*$C$21*$H$21)/설정!$B$61,0))+((1)*$C$21*설정!$B$57))</f>
        <v>411125760</v>
      </c>
      <c r="E166" s="67" t="n">
        <f aca="false">($D$21*모델!$C$37)*MIN(($B$21*$C$21*$H$21)*MAX(1,ROUNDUP(((1)*$B$21*설정!$B$57)/설정!$B$61,0))+((1)*$B$21*설정!$B$57)+((1)*$C$21*설정!$B$57),($B$21*$C$21*$H$21)+((1)*$B$21*설정!$B$57)*MAX(1,ROUNDUP(($B$21*$C$21*$H$21)/설정!$B$61,0))+((1)*$C$21*설정!$B$57))</f>
        <v>411125760</v>
      </c>
      <c r="F166" s="67" t="n">
        <f aca="false">($D$21*모델!$C$37)*MIN(($B$21*$C$21*$H$21)*MAX(1,ROUNDUP(((1)*$B$21*설정!$B$57)/설정!$B$61,0))+((1)*$B$21*설정!$B$57)+((1)*$C$21*설정!$B$57),($B$21*$C$21*$H$21)+((1)*$B$21*설정!$B$57)*MAX(1,ROUNDUP(($B$21*$C$21*$H$21)/설정!$B$61,0))+((1)*$C$21*설정!$B$57))</f>
        <v>411125760</v>
      </c>
      <c r="G166" s="67" t="n">
        <f aca="false">($D$21*모델!$C$37)*MIN(($B$21*$C$21*$H$21)*MAX(1,ROUNDUP(((1)*$B$21*설정!$B$57)/설정!$B$61,0))+((1)*$B$21*설정!$B$57)+((1)*$C$21*설정!$B$57),($B$21*$C$21*$H$21)+((1)*$B$21*설정!$B$57)*MAX(1,ROUNDUP(($B$21*$C$21*$H$21)/설정!$B$61,0))+((1)*$C$21*설정!$B$57))</f>
        <v>411125760</v>
      </c>
      <c r="H166" s="67" t="n">
        <f aca="false">($D$21*모델!$C$37)*MIN(($B$21*$C$21*$H$21)*MAX(1,ROUNDUP(((1)*$B$21*설정!$B$57)/설정!$B$61,0))+((1)*$B$21*설정!$B$57)+((1)*$C$21*설정!$B$57),($B$21*$C$21*$H$21)+((1)*$B$21*설정!$B$57)*MAX(1,ROUNDUP(($B$21*$C$21*$H$21)/설정!$B$61,0))+((1)*$C$21*설정!$B$57))</f>
        <v>411125760</v>
      </c>
      <c r="I166" s="2"/>
    </row>
    <row r="167" customFormat="false" ht="17.15" hidden="false" customHeight="false" outlineLevel="0" collapsed="false">
      <c r="A167" s="30" t="s">
        <v>331</v>
      </c>
      <c r="B167" s="68" t="n">
        <f aca="false">MAX(B165/$I$21,B166/설정!$B$60)*1000</f>
        <v>8.06128941176471</v>
      </c>
      <c r="C167" s="68" t="n">
        <f aca="false">MAX(C165/$I$21,C166/설정!$B$60)*1000</f>
        <v>8.06128941176471</v>
      </c>
      <c r="D167" s="68" t="n">
        <f aca="false">MAX(D165/$I$21,D166/설정!$B$60)*1000</f>
        <v>8.06128941176471</v>
      </c>
      <c r="E167" s="68" t="n">
        <f aca="false">MAX(E165/$I$21,E166/설정!$B$60)*1000</f>
        <v>8.06128941176471</v>
      </c>
      <c r="F167" s="68" t="n">
        <f aca="false">MAX(F165/$I$21,F166/설정!$B$60)*1000</f>
        <v>8.06128941176471</v>
      </c>
      <c r="G167" s="68" t="n">
        <f aca="false">MAX(G165/$I$21,G166/설정!$B$60)*1000</f>
        <v>8.06128941176471</v>
      </c>
      <c r="H167" s="68" t="n">
        <f aca="false">MAX(H165/$I$21,H166/설정!$B$60)*1000</f>
        <v>8.06128941176471</v>
      </c>
      <c r="I167" s="2"/>
    </row>
    <row r="168" customFormat="false" ht="17.15" hidden="false" customHeight="false" outlineLevel="0" collapsed="false">
      <c r="A168" s="30" t="s">
        <v>332</v>
      </c>
      <c r="B168" s="67" t="n">
        <f aca="false">($D$22*모델!$C$37)*2*(1)*$B$22*$C$22</f>
        <v>1592524800</v>
      </c>
      <c r="C168" s="67" t="n">
        <f aca="false">($D$22*모델!$C$37)*2*(1)*$B$22*$C$22</f>
        <v>1592524800</v>
      </c>
      <c r="D168" s="67" t="n">
        <f aca="false">($D$22*모델!$C$37)*2*(1)*$B$22*$C$22</f>
        <v>1592524800</v>
      </c>
      <c r="E168" s="67" t="n">
        <f aca="false">($D$22*모델!$C$37)*2*(1)*$B$22*$C$22</f>
        <v>1592524800</v>
      </c>
      <c r="F168" s="67" t="n">
        <f aca="false">($D$22*모델!$C$37)*2*(1)*$B$22*$C$22</f>
        <v>1592524800</v>
      </c>
      <c r="G168" s="67" t="n">
        <f aca="false">($D$22*모델!$C$37)*2*(1)*$B$22*$C$22</f>
        <v>1592524800</v>
      </c>
      <c r="H168" s="67" t="n">
        <f aca="false">($D$22*모델!$C$37)*2*(1)*$B$22*$C$22</f>
        <v>1592524800</v>
      </c>
      <c r="I168" s="2"/>
    </row>
    <row r="169" customFormat="false" ht="17.15" hidden="false" customHeight="false" outlineLevel="0" collapsed="false">
      <c r="A169" s="30" t="s">
        <v>333</v>
      </c>
      <c r="B169" s="67" t="n">
        <f aca="false">($D$22*모델!$C$37)*MIN(($B$22*$C$22*$H$22)*MAX(1,ROUNDUP(((1)*$B$22*설정!$B$57)/설정!$B$61,0))+((1)*$B$22*설정!$B$57)+((1)*$C$22*설정!$B$57),($B$22*$C$22*$H$22)+((1)*$B$22*설정!$B$57)*MAX(1,ROUNDUP(($B$22*$C$22*$H$22)/설정!$B$61,0))+((1)*$C$22*설정!$B$57))</f>
        <v>411125760</v>
      </c>
      <c r="C169" s="67" t="n">
        <f aca="false">($D$22*모델!$C$37)*MIN(($B$22*$C$22*$H$22)*MAX(1,ROUNDUP(((1)*$B$22*설정!$B$57)/설정!$B$61,0))+((1)*$B$22*설정!$B$57)+((1)*$C$22*설정!$B$57),($B$22*$C$22*$H$22)+((1)*$B$22*설정!$B$57)*MAX(1,ROUNDUP(($B$22*$C$22*$H$22)/설정!$B$61,0))+((1)*$C$22*설정!$B$57))</f>
        <v>411125760</v>
      </c>
      <c r="D169" s="67" t="n">
        <f aca="false">($D$22*모델!$C$37)*MIN(($B$22*$C$22*$H$22)*MAX(1,ROUNDUP(((1)*$B$22*설정!$B$57)/설정!$B$61,0))+((1)*$B$22*설정!$B$57)+((1)*$C$22*설정!$B$57),($B$22*$C$22*$H$22)+((1)*$B$22*설정!$B$57)*MAX(1,ROUNDUP(($B$22*$C$22*$H$22)/설정!$B$61,0))+((1)*$C$22*설정!$B$57))</f>
        <v>411125760</v>
      </c>
      <c r="E169" s="67" t="n">
        <f aca="false">($D$22*모델!$C$37)*MIN(($B$22*$C$22*$H$22)*MAX(1,ROUNDUP(((1)*$B$22*설정!$B$57)/설정!$B$61,0))+((1)*$B$22*설정!$B$57)+((1)*$C$22*설정!$B$57),($B$22*$C$22*$H$22)+((1)*$B$22*설정!$B$57)*MAX(1,ROUNDUP(($B$22*$C$22*$H$22)/설정!$B$61,0))+((1)*$C$22*설정!$B$57))</f>
        <v>411125760</v>
      </c>
      <c r="F169" s="67" t="n">
        <f aca="false">($D$22*모델!$C$37)*MIN(($B$22*$C$22*$H$22)*MAX(1,ROUNDUP(((1)*$B$22*설정!$B$57)/설정!$B$61,0))+((1)*$B$22*설정!$B$57)+((1)*$C$22*설정!$B$57),($B$22*$C$22*$H$22)+((1)*$B$22*설정!$B$57)*MAX(1,ROUNDUP(($B$22*$C$22*$H$22)/설정!$B$61,0))+((1)*$C$22*설정!$B$57))</f>
        <v>411125760</v>
      </c>
      <c r="G169" s="67" t="n">
        <f aca="false">($D$22*모델!$C$37)*MIN(($B$22*$C$22*$H$22)*MAX(1,ROUNDUP(((1)*$B$22*설정!$B$57)/설정!$B$61,0))+((1)*$B$22*설정!$B$57)+((1)*$C$22*설정!$B$57),($B$22*$C$22*$H$22)+((1)*$B$22*설정!$B$57)*MAX(1,ROUNDUP(($B$22*$C$22*$H$22)/설정!$B$61,0))+((1)*$C$22*설정!$B$57))</f>
        <v>411125760</v>
      </c>
      <c r="H169" s="67" t="n">
        <f aca="false">($D$22*모델!$C$37)*MIN(($B$22*$C$22*$H$22)*MAX(1,ROUNDUP(((1)*$B$22*설정!$B$57)/설정!$B$61,0))+((1)*$B$22*설정!$B$57)+((1)*$C$22*설정!$B$57),($B$22*$C$22*$H$22)+((1)*$B$22*설정!$B$57)*MAX(1,ROUNDUP(($B$22*$C$22*$H$22)/설정!$B$61,0))+((1)*$C$22*설정!$B$57))</f>
        <v>411125760</v>
      </c>
      <c r="I169" s="2"/>
    </row>
    <row r="170" customFormat="false" ht="17.15" hidden="false" customHeight="false" outlineLevel="0" collapsed="false">
      <c r="A170" s="30" t="s">
        <v>334</v>
      </c>
      <c r="B170" s="68" t="n">
        <f aca="false">MAX(B168/$I$22,B169/설정!$B$60)*1000</f>
        <v>8.06128941176471</v>
      </c>
      <c r="C170" s="68" t="n">
        <f aca="false">MAX(C168/$I$22,C169/설정!$B$60)*1000</f>
        <v>8.06128941176471</v>
      </c>
      <c r="D170" s="68" t="n">
        <f aca="false">MAX(D168/$I$22,D169/설정!$B$60)*1000</f>
        <v>8.06128941176471</v>
      </c>
      <c r="E170" s="68" t="n">
        <f aca="false">MAX(E168/$I$22,E169/설정!$B$60)*1000</f>
        <v>8.06128941176471</v>
      </c>
      <c r="F170" s="68" t="n">
        <f aca="false">MAX(F168/$I$22,F169/설정!$B$60)*1000</f>
        <v>8.06128941176471</v>
      </c>
      <c r="G170" s="68" t="n">
        <f aca="false">MAX(G168/$I$22,G169/설정!$B$60)*1000</f>
        <v>8.06128941176471</v>
      </c>
      <c r="H170" s="68" t="n">
        <f aca="false">MAX(H168/$I$22,H169/설정!$B$60)*1000</f>
        <v>8.06128941176471</v>
      </c>
      <c r="I170" s="2"/>
    </row>
    <row r="171" customFormat="false" ht="17.15" hidden="false" customHeight="false" outlineLevel="0" collapsed="false">
      <c r="A171" s="30" t="s">
        <v>335</v>
      </c>
      <c r="B171" s="67" t="n">
        <f aca="false">($D$23*모델!$C$37)*2*(1)*$B$23*$C$23</f>
        <v>1592524800</v>
      </c>
      <c r="C171" s="67" t="n">
        <f aca="false">($D$23*모델!$C$37)*2*(1)*$B$23*$C$23</f>
        <v>1592524800</v>
      </c>
      <c r="D171" s="67" t="n">
        <f aca="false">($D$23*모델!$C$37)*2*(1)*$B$23*$C$23</f>
        <v>1592524800</v>
      </c>
      <c r="E171" s="67" t="n">
        <f aca="false">($D$23*모델!$C$37)*2*(1)*$B$23*$C$23</f>
        <v>1592524800</v>
      </c>
      <c r="F171" s="67" t="n">
        <f aca="false">($D$23*모델!$C$37)*2*(1)*$B$23*$C$23</f>
        <v>1592524800</v>
      </c>
      <c r="G171" s="67" t="n">
        <f aca="false">($D$23*모델!$C$37)*2*(1)*$B$23*$C$23</f>
        <v>1592524800</v>
      </c>
      <c r="H171" s="67" t="n">
        <f aca="false">($D$23*모델!$C$37)*2*(1)*$B$23*$C$23</f>
        <v>1592524800</v>
      </c>
      <c r="I171" s="2"/>
    </row>
    <row r="172" customFormat="false" ht="17.15" hidden="false" customHeight="false" outlineLevel="0" collapsed="false">
      <c r="A172" s="30" t="s">
        <v>336</v>
      </c>
      <c r="B172" s="67" t="n">
        <f aca="false">($D$23*모델!$C$37)*MIN(($B$23*$C$23*$H$23)*MAX(1,ROUNDUP(((1)*$B$23*설정!$B$57)/설정!$B$61,0))+((1)*$B$23*설정!$B$57)+((1)*$C$23*설정!$B$57),($B$23*$C$23*$H$23)+((1)*$B$23*설정!$B$57)*MAX(1,ROUNDUP(($B$23*$C$23*$H$23)/설정!$B$61,0))+((1)*$C$23*설정!$B$57))</f>
        <v>411125760</v>
      </c>
      <c r="C172" s="67" t="n">
        <f aca="false">($D$23*모델!$C$37)*MIN(($B$23*$C$23*$H$23)*MAX(1,ROUNDUP(((1)*$B$23*설정!$B$57)/설정!$B$61,0))+((1)*$B$23*설정!$B$57)+((1)*$C$23*설정!$B$57),($B$23*$C$23*$H$23)+((1)*$B$23*설정!$B$57)*MAX(1,ROUNDUP(($B$23*$C$23*$H$23)/설정!$B$61,0))+((1)*$C$23*설정!$B$57))</f>
        <v>411125760</v>
      </c>
      <c r="D172" s="67" t="n">
        <f aca="false">($D$23*모델!$C$37)*MIN(($B$23*$C$23*$H$23)*MAX(1,ROUNDUP(((1)*$B$23*설정!$B$57)/설정!$B$61,0))+((1)*$B$23*설정!$B$57)+((1)*$C$23*설정!$B$57),($B$23*$C$23*$H$23)+((1)*$B$23*설정!$B$57)*MAX(1,ROUNDUP(($B$23*$C$23*$H$23)/설정!$B$61,0))+((1)*$C$23*설정!$B$57))</f>
        <v>411125760</v>
      </c>
      <c r="E172" s="67" t="n">
        <f aca="false">($D$23*모델!$C$37)*MIN(($B$23*$C$23*$H$23)*MAX(1,ROUNDUP(((1)*$B$23*설정!$B$57)/설정!$B$61,0))+((1)*$B$23*설정!$B$57)+((1)*$C$23*설정!$B$57),($B$23*$C$23*$H$23)+((1)*$B$23*설정!$B$57)*MAX(1,ROUNDUP(($B$23*$C$23*$H$23)/설정!$B$61,0))+((1)*$C$23*설정!$B$57))</f>
        <v>411125760</v>
      </c>
      <c r="F172" s="67" t="n">
        <f aca="false">($D$23*모델!$C$37)*MIN(($B$23*$C$23*$H$23)*MAX(1,ROUNDUP(((1)*$B$23*설정!$B$57)/설정!$B$61,0))+((1)*$B$23*설정!$B$57)+((1)*$C$23*설정!$B$57),($B$23*$C$23*$H$23)+((1)*$B$23*설정!$B$57)*MAX(1,ROUNDUP(($B$23*$C$23*$H$23)/설정!$B$61,0))+((1)*$C$23*설정!$B$57))</f>
        <v>411125760</v>
      </c>
      <c r="G172" s="67" t="n">
        <f aca="false">($D$23*모델!$C$37)*MIN(($B$23*$C$23*$H$23)*MAX(1,ROUNDUP(((1)*$B$23*설정!$B$57)/설정!$B$61,0))+((1)*$B$23*설정!$B$57)+((1)*$C$23*설정!$B$57),($B$23*$C$23*$H$23)+((1)*$B$23*설정!$B$57)*MAX(1,ROUNDUP(($B$23*$C$23*$H$23)/설정!$B$61,0))+((1)*$C$23*설정!$B$57))</f>
        <v>411125760</v>
      </c>
      <c r="H172" s="67" t="n">
        <f aca="false">($D$23*모델!$C$37)*MIN(($B$23*$C$23*$H$23)*MAX(1,ROUNDUP(((1)*$B$23*설정!$B$57)/설정!$B$61,0))+((1)*$B$23*설정!$B$57)+((1)*$C$23*설정!$B$57),($B$23*$C$23*$H$23)+((1)*$B$23*설정!$B$57)*MAX(1,ROUNDUP(($B$23*$C$23*$H$23)/설정!$B$61,0))+((1)*$C$23*설정!$B$57))</f>
        <v>411125760</v>
      </c>
      <c r="I172" s="2"/>
    </row>
    <row r="173" customFormat="false" ht="17.15" hidden="false" customHeight="false" outlineLevel="0" collapsed="false">
      <c r="A173" s="30" t="s">
        <v>337</v>
      </c>
      <c r="B173" s="68" t="n">
        <f aca="false">MAX(B171/$I$23,B172/설정!$B$60)*1000</f>
        <v>8.06128941176471</v>
      </c>
      <c r="C173" s="68" t="n">
        <f aca="false">MAX(C171/$I$23,C172/설정!$B$60)*1000</f>
        <v>8.06128941176471</v>
      </c>
      <c r="D173" s="68" t="n">
        <f aca="false">MAX(D171/$I$23,D172/설정!$B$60)*1000</f>
        <v>8.06128941176471</v>
      </c>
      <c r="E173" s="68" t="n">
        <f aca="false">MAX(E171/$I$23,E172/설정!$B$60)*1000</f>
        <v>8.06128941176471</v>
      </c>
      <c r="F173" s="68" t="n">
        <f aca="false">MAX(F171/$I$23,F172/설정!$B$60)*1000</f>
        <v>8.06128941176471</v>
      </c>
      <c r="G173" s="68" t="n">
        <f aca="false">MAX(G171/$I$23,G172/설정!$B$60)*1000</f>
        <v>8.06128941176471</v>
      </c>
      <c r="H173" s="68" t="n">
        <f aca="false">MAX(H171/$I$23,H172/설정!$B$60)*1000</f>
        <v>8.06128941176471</v>
      </c>
      <c r="I173" s="2"/>
    </row>
    <row r="174" customFormat="false" ht="17.15" hidden="false" customHeight="false" outlineLevel="0" collapsed="false">
      <c r="A174" s="30" t="s">
        <v>338</v>
      </c>
      <c r="B174" s="67" t="n">
        <f aca="false">($D$24)*2*(1)*$B$24*$C$24</f>
        <v>1158266880</v>
      </c>
      <c r="C174" s="67" t="n">
        <f aca="false">($D$24)*2*(1)*$B$24*$C$24</f>
        <v>1158266880</v>
      </c>
      <c r="D174" s="67" t="n">
        <f aca="false">($D$24)*2*(1)*$B$24*$C$24</f>
        <v>1158266880</v>
      </c>
      <c r="E174" s="67" t="n">
        <f aca="false">($D$24)*2*(1)*$B$24*$C$24</f>
        <v>1158266880</v>
      </c>
      <c r="F174" s="67" t="n">
        <f aca="false">($D$24)*2*(1)*$B$24*$C$24</f>
        <v>1158266880</v>
      </c>
      <c r="G174" s="67" t="n">
        <f aca="false">($D$24)*2*(1)*$B$24*$C$24</f>
        <v>1158266880</v>
      </c>
      <c r="H174" s="67" t="n">
        <f aca="false">($D$24)*2*(1)*$B$24*$C$24</f>
        <v>1158266880</v>
      </c>
      <c r="I174" s="2"/>
    </row>
    <row r="175" customFormat="false" ht="17.15" hidden="false" customHeight="false" outlineLevel="0" collapsed="false">
      <c r="A175" s="30" t="s">
        <v>339</v>
      </c>
      <c r="B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C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D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E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F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G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H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298819648</v>
      </c>
      <c r="I175" s="2"/>
    </row>
    <row r="176" customFormat="false" ht="17.15" hidden="false" customHeight="false" outlineLevel="0" collapsed="false">
      <c r="A176" s="30" t="s">
        <v>340</v>
      </c>
      <c r="B176" s="68" t="n">
        <f aca="false">MAX(B174/$I$24,B175/설정!$B$60)*1000</f>
        <v>5.85920878431373</v>
      </c>
      <c r="C176" s="68" t="n">
        <f aca="false">MAX(C174/$I$24,C175/설정!$B$60)*1000</f>
        <v>5.85920878431373</v>
      </c>
      <c r="D176" s="68" t="n">
        <f aca="false">MAX(D174/$I$24,D175/설정!$B$60)*1000</f>
        <v>5.85920878431373</v>
      </c>
      <c r="E176" s="68" t="n">
        <f aca="false">MAX(E174/$I$24,E175/설정!$B$60)*1000</f>
        <v>5.85920878431373</v>
      </c>
      <c r="F176" s="68" t="n">
        <f aca="false">MAX(F174/$I$24,F175/설정!$B$60)*1000</f>
        <v>5.85920878431373</v>
      </c>
      <c r="G176" s="68" t="n">
        <f aca="false">MAX(G174/$I$24,G175/설정!$B$60)*1000</f>
        <v>5.85920878431373</v>
      </c>
      <c r="H176" s="68" t="n">
        <f aca="false">MAX(H174/$I$24,H175/설정!$B$60)*1000</f>
        <v>5.85920878431373</v>
      </c>
      <c r="I176" s="2"/>
    </row>
    <row r="177" customFormat="false" ht="17.15" hidden="false" customHeight="false" outlineLevel="0" collapsed="false">
      <c r="A177" s="30" t="s">
        <v>342</v>
      </c>
      <c r="B177" s="67" t="n">
        <f aca="false">모델!$C$12*4*모델!$C$13*모델!$C$15*B116</f>
        <v>50331648</v>
      </c>
      <c r="C177" s="67" t="n">
        <f aca="false">모델!$C$12*4*모델!$C$13*모델!$C$15*C116</f>
        <v>75497472</v>
      </c>
      <c r="D177" s="67" t="n">
        <f aca="false">모델!$C$12*4*모델!$C$13*모델!$C$15*D116</f>
        <v>125829120</v>
      </c>
      <c r="E177" s="67" t="n">
        <f aca="false">모델!$C$12*4*모델!$C$13*모델!$C$15*E116</f>
        <v>226492416</v>
      </c>
      <c r="F177" s="67" t="n">
        <f aca="false">모델!$C$12*4*모델!$C$13*모델!$C$15*F116</f>
        <v>427819008</v>
      </c>
      <c r="G177" s="67" t="n">
        <f aca="false">모델!$C$12*4*모델!$C$13*모델!$C$15*G116</f>
        <v>830472192</v>
      </c>
      <c r="H177" s="67" t="n">
        <f aca="false">모델!$C$12*4*모델!$C$13*모델!$C$15*H116</f>
        <v>1635778560</v>
      </c>
      <c r="I177" s="2"/>
    </row>
    <row r="178" customFormat="false" ht="17.15" hidden="false" customHeight="false" outlineLevel="0" collapsed="false">
      <c r="A178" s="30" t="s">
        <v>364</v>
      </c>
      <c r="B178" s="67" t="n">
        <f aca="false">모델!$C$12*(B116*2*모델!$C$14*모델!$C$15*설정!$B$58+2*모델!$C$13*모델!$C$15*설정!$B$57)</f>
        <v>3244032</v>
      </c>
      <c r="C178" s="67" t="n">
        <f aca="false">모델!$C$12*(C116*2*모델!$C$14*모델!$C$15*설정!$B$58+2*모델!$C$13*모델!$C$15*설정!$B$57)</f>
        <v>4816896</v>
      </c>
      <c r="D178" s="67" t="n">
        <f aca="false">모델!$C$12*(D116*2*모델!$C$14*모델!$C$15*설정!$B$58+2*모델!$C$13*모델!$C$15*설정!$B$57)</f>
        <v>7962624</v>
      </c>
      <c r="E178" s="67" t="n">
        <f aca="false">모델!$C$12*(E116*2*모델!$C$14*모델!$C$15*설정!$B$58+2*모델!$C$13*모델!$C$15*설정!$B$57)</f>
        <v>14254080</v>
      </c>
      <c r="F178" s="67" t="n">
        <f aca="false">모델!$C$12*(F116*2*모델!$C$14*모델!$C$15*설정!$B$58+2*모델!$C$13*모델!$C$15*설정!$B$57)</f>
        <v>26836992</v>
      </c>
      <c r="G178" s="67" t="n">
        <f aca="false">모델!$C$12*(G116*2*모델!$C$14*모델!$C$15*설정!$B$58+2*모델!$C$13*모델!$C$15*설정!$B$57)</f>
        <v>52002816</v>
      </c>
      <c r="H178" s="67" t="n">
        <f aca="false">모델!$C$12*(H116*2*모델!$C$14*모델!$C$15*설정!$B$58+2*모델!$C$13*모델!$C$15*설정!$B$57)</f>
        <v>102334464</v>
      </c>
      <c r="I178" s="2"/>
    </row>
    <row r="179" customFormat="false" ht="17.15" hidden="false" customHeight="false" outlineLevel="0" collapsed="false">
      <c r="A179" s="30" t="s">
        <v>344</v>
      </c>
      <c r="B179" s="68" t="n">
        <f aca="false">MAX(B177/설정!$B$68,B178/설정!$B$60)*1000</f>
        <v>0.0636084705882353</v>
      </c>
      <c r="C179" s="68" t="n">
        <f aca="false">MAX(C177/설정!$B$68,C178/설정!$B$60)*1000</f>
        <v>0.0944489411764706</v>
      </c>
      <c r="D179" s="68" t="n">
        <f aca="false">MAX(D177/설정!$B$68,D178/설정!$B$60)*1000</f>
        <v>0.156129882352941</v>
      </c>
      <c r="E179" s="68" t="n">
        <f aca="false">MAX(E177/설정!$B$68,E178/설정!$B$60)*1000</f>
        <v>0.279491764705882</v>
      </c>
      <c r="F179" s="68" t="n">
        <f aca="false">MAX(F177/설정!$B$68,F178/설정!$B$60)*1000</f>
        <v>0.526215529411765</v>
      </c>
      <c r="G179" s="68" t="n">
        <f aca="false">MAX(G177/설정!$B$68,G178/설정!$B$60)*1000</f>
        <v>1.01966305882353</v>
      </c>
      <c r="H179" s="68" t="n">
        <f aca="false">MAX(H177/설정!$B$68,H178/설정!$B$60)*1000</f>
        <v>2.00655811764706</v>
      </c>
      <c r="I179" s="2"/>
    </row>
    <row r="180" customFormat="false" ht="17.15" hidden="false" customHeight="false" outlineLevel="0" collapsed="false">
      <c r="A180" s="30" t="s">
        <v>365</v>
      </c>
      <c r="B180" s="69" t="n">
        <f aca="false">MIN(B116,모델!$C$20)</f>
        <v>128</v>
      </c>
      <c r="C180" s="69" t="n">
        <f aca="false">MIN(C116,모델!$C$20)</f>
        <v>128</v>
      </c>
      <c r="D180" s="69" t="n">
        <f aca="false">MIN(D116,모델!$C$20)</f>
        <v>128</v>
      </c>
      <c r="E180" s="69" t="n">
        <f aca="false">MIN(E116,모델!$C$20)</f>
        <v>128</v>
      </c>
      <c r="F180" s="69" t="n">
        <f aca="false">MIN(F116,모델!$C$20)</f>
        <v>128</v>
      </c>
      <c r="G180" s="69" t="n">
        <f aca="false">MIN(G116,모델!$C$20)</f>
        <v>128</v>
      </c>
      <c r="H180" s="69" t="n">
        <f aca="false">MIN(H116,모델!$C$20)</f>
        <v>128</v>
      </c>
      <c r="I180" s="2"/>
    </row>
    <row r="181" customFormat="false" ht="17.15" hidden="false" customHeight="false" outlineLevel="0" collapsed="false">
      <c r="A181" s="30" t="s">
        <v>346</v>
      </c>
      <c r="B181" s="67" t="n">
        <f aca="false">모델!$C$19*4*모델!$C$21*모델!$C$23*B180</f>
        <v>25165824</v>
      </c>
      <c r="C181" s="67" t="n">
        <f aca="false">모델!$C$19*4*모델!$C$21*모델!$C$23*C180</f>
        <v>25165824</v>
      </c>
      <c r="D181" s="67" t="n">
        <f aca="false">모델!$C$19*4*모델!$C$21*모델!$C$23*D180</f>
        <v>25165824</v>
      </c>
      <c r="E181" s="67" t="n">
        <f aca="false">모델!$C$19*4*모델!$C$21*모델!$C$23*E180</f>
        <v>25165824</v>
      </c>
      <c r="F181" s="67" t="n">
        <f aca="false">모델!$C$19*4*모델!$C$21*모델!$C$23*F180</f>
        <v>25165824</v>
      </c>
      <c r="G181" s="67" t="n">
        <f aca="false">모델!$C$19*4*모델!$C$21*모델!$C$23*G180</f>
        <v>25165824</v>
      </c>
      <c r="H181" s="67" t="n">
        <f aca="false">모델!$C$19*4*모델!$C$21*모델!$C$23*H180</f>
        <v>25165824</v>
      </c>
      <c r="I181" s="2"/>
    </row>
    <row r="182" customFormat="false" ht="17.15" hidden="false" customHeight="false" outlineLevel="0" collapsed="false">
      <c r="A182" s="30" t="s">
        <v>366</v>
      </c>
      <c r="B182" s="67" t="n">
        <f aca="false">모델!$C$19*(B180*2*모델!$C$22*모델!$C$23*설정!$B$58+2*모델!$C$21*모델!$C$23*설정!$B$57)</f>
        <v>1671168</v>
      </c>
      <c r="C182" s="67" t="n">
        <f aca="false">모델!$C$19*(C180*2*모델!$C$22*모델!$C$23*설정!$B$58+2*모델!$C$21*모델!$C$23*설정!$B$57)</f>
        <v>1671168</v>
      </c>
      <c r="D182" s="67" t="n">
        <f aca="false">모델!$C$19*(D180*2*모델!$C$22*모델!$C$23*설정!$B$58+2*모델!$C$21*모델!$C$23*설정!$B$57)</f>
        <v>1671168</v>
      </c>
      <c r="E182" s="67" t="n">
        <f aca="false">모델!$C$19*(E180*2*모델!$C$22*모델!$C$23*설정!$B$58+2*모델!$C$21*모델!$C$23*설정!$B$57)</f>
        <v>1671168</v>
      </c>
      <c r="F182" s="67" t="n">
        <f aca="false">모델!$C$19*(F180*2*모델!$C$22*모델!$C$23*설정!$B$58+2*모델!$C$21*모델!$C$23*설정!$B$57)</f>
        <v>1671168</v>
      </c>
      <c r="G182" s="67" t="n">
        <f aca="false">모델!$C$19*(G180*2*모델!$C$22*모델!$C$23*설정!$B$58+2*모델!$C$21*모델!$C$23*설정!$B$57)</f>
        <v>1671168</v>
      </c>
      <c r="H182" s="67" t="n">
        <f aca="false">모델!$C$19*(H180*2*모델!$C$22*모델!$C$23*설정!$B$58+2*모델!$C$21*모델!$C$23*설정!$B$57)</f>
        <v>1671168</v>
      </c>
      <c r="I182" s="2"/>
    </row>
    <row r="183" customFormat="false" ht="17.15" hidden="false" customHeight="false" outlineLevel="0" collapsed="false">
      <c r="A183" s="30" t="s">
        <v>348</v>
      </c>
      <c r="B183" s="68" t="n">
        <f aca="false">MAX(B181/설정!$B$68,B182/설정!$B$60)*1000</f>
        <v>0.032768</v>
      </c>
      <c r="C183" s="68" t="n">
        <f aca="false">MAX(C181/설정!$B$68,C182/설정!$B$60)*1000</f>
        <v>0.032768</v>
      </c>
      <c r="D183" s="68" t="n">
        <f aca="false">MAX(D181/설정!$B$68,D182/설정!$B$60)*1000</f>
        <v>0.032768</v>
      </c>
      <c r="E183" s="68" t="n">
        <f aca="false">MAX(E181/설정!$B$68,E182/설정!$B$60)*1000</f>
        <v>0.032768</v>
      </c>
      <c r="F183" s="68" t="n">
        <f aca="false">MAX(F181/설정!$B$68,F182/설정!$B$60)*1000</f>
        <v>0.032768</v>
      </c>
      <c r="G183" s="68" t="n">
        <f aca="false">MAX(G181/설정!$B$68,G182/설정!$B$60)*1000</f>
        <v>0.032768</v>
      </c>
      <c r="H183" s="68" t="n">
        <f aca="false">MAX(H181/설정!$B$68,H182/설정!$B$60)*1000</f>
        <v>0.032768</v>
      </c>
      <c r="I183" s="2"/>
    </row>
    <row r="184" customFormat="false" ht="17.15" hidden="false" customHeight="false" outlineLevel="0" collapsed="false">
      <c r="A184" s="30" t="s">
        <v>367</v>
      </c>
      <c r="B184" s="67" t="n">
        <f aca="false">모델!$C$26*(모델!$C$29*7*모델!$C$28*모델!$C$30+2*모델!$C$31*모델!$C$52)</f>
        <v>0</v>
      </c>
      <c r="C184" s="67" t="n">
        <f aca="false">모델!$C$26*(모델!$C$29*7*모델!$C$28*모델!$C$30+2*모델!$C$31*모델!$C$52)</f>
        <v>0</v>
      </c>
      <c r="D184" s="67" t="n">
        <f aca="false">모델!$C$26*(모델!$C$29*7*모델!$C$28*모델!$C$30+2*모델!$C$31*모델!$C$52)</f>
        <v>0</v>
      </c>
      <c r="E184" s="67" t="n">
        <f aca="false">모델!$C$26*(모델!$C$29*7*모델!$C$28*모델!$C$30+2*모델!$C$31*모델!$C$52)</f>
        <v>0</v>
      </c>
      <c r="F184" s="67" t="n">
        <f aca="false">모델!$C$26*(모델!$C$29*7*모델!$C$28*모델!$C$30+2*모델!$C$31*모델!$C$52)</f>
        <v>0</v>
      </c>
      <c r="G184" s="67" t="n">
        <f aca="false">모델!$C$26*(모델!$C$29*7*모델!$C$28*모델!$C$30+2*모델!$C$31*모델!$C$52)</f>
        <v>0</v>
      </c>
      <c r="H184" s="67" t="n">
        <f aca="false">모델!$C$26*(모델!$C$29*7*모델!$C$28*모델!$C$30+2*모델!$C$31*모델!$C$52)</f>
        <v>0</v>
      </c>
      <c r="I184" s="2"/>
    </row>
    <row r="185" customFormat="false" ht="17.15" hidden="false" customHeight="false" outlineLevel="0" collapsed="false">
      <c r="A185" s="30" t="s">
        <v>368</v>
      </c>
      <c r="B185" s="67" t="n">
        <f aca="false">모델!$C$26*(2*모델!$C$29*모델!$C$28*모델!$C$30*설정!$B$59+2*MAX(0,모델!$C$31-1)*모델!$C$52*설정!$B$57+(모델!$C$52+2*모델!$C$29+모델!$C$29*모델!$C$30)*설정!$B$57)</f>
        <v>0</v>
      </c>
      <c r="C185" s="67" t="n">
        <f aca="false">모델!$C$26*(2*모델!$C$29*모델!$C$28*모델!$C$30*설정!$B$59+2*MAX(0,모델!$C$31-1)*모델!$C$52*설정!$B$57+(모델!$C$52+2*모델!$C$29+모델!$C$29*모델!$C$30)*설정!$B$57)</f>
        <v>0</v>
      </c>
      <c r="D185" s="67" t="n">
        <f aca="false">모델!$C$26*(2*모델!$C$29*모델!$C$28*모델!$C$30*설정!$B$59+2*MAX(0,모델!$C$31-1)*모델!$C$52*설정!$B$57+(모델!$C$52+2*모델!$C$29+모델!$C$29*모델!$C$30)*설정!$B$57)</f>
        <v>0</v>
      </c>
      <c r="E185" s="67" t="n">
        <f aca="false">모델!$C$26*(2*모델!$C$29*모델!$C$28*모델!$C$30*설정!$B$59+2*MAX(0,모델!$C$31-1)*모델!$C$52*설정!$B$57+(모델!$C$52+2*모델!$C$29+모델!$C$29*모델!$C$30)*설정!$B$57)</f>
        <v>0</v>
      </c>
      <c r="F185" s="67" t="n">
        <f aca="false">모델!$C$26*(2*모델!$C$29*모델!$C$28*모델!$C$30*설정!$B$59+2*MAX(0,모델!$C$31-1)*모델!$C$52*설정!$B$57+(모델!$C$52+2*모델!$C$29+모델!$C$29*모델!$C$30)*설정!$B$57)</f>
        <v>0</v>
      </c>
      <c r="G185" s="67" t="n">
        <f aca="false">모델!$C$26*(2*모델!$C$29*모델!$C$28*모델!$C$30*설정!$B$59+2*MAX(0,모델!$C$31-1)*모델!$C$52*설정!$B$57+(모델!$C$52+2*모델!$C$29+모델!$C$29*모델!$C$30)*설정!$B$57)</f>
        <v>0</v>
      </c>
      <c r="H185" s="67" t="n">
        <f aca="false">모델!$C$26*(2*모델!$C$29*모델!$C$28*모델!$C$30*설정!$B$59+2*MAX(0,모델!$C$31-1)*모델!$C$52*설정!$B$57+(모델!$C$52+2*모델!$C$29+모델!$C$29*모델!$C$30)*설정!$B$57)</f>
        <v>0</v>
      </c>
      <c r="I185" s="2"/>
    </row>
    <row r="186" customFormat="false" ht="17.15" hidden="false" customHeight="false" outlineLevel="0" collapsed="false">
      <c r="A186" s="30" t="s">
        <v>369</v>
      </c>
      <c r="B186" s="68" t="n">
        <f aca="false">MAX(B184/설정!$B$69,B185/설정!$B$60)*1000</f>
        <v>0</v>
      </c>
      <c r="C186" s="68" t="n">
        <f aca="false">MAX(C184/설정!$B$69,C185/설정!$B$60)*1000</f>
        <v>0</v>
      </c>
      <c r="D186" s="68" t="n">
        <f aca="false">MAX(D184/설정!$B$69,D185/설정!$B$60)*1000</f>
        <v>0</v>
      </c>
      <c r="E186" s="68" t="n">
        <f aca="false">MAX(E184/설정!$B$69,E185/설정!$B$60)*1000</f>
        <v>0</v>
      </c>
      <c r="F186" s="68" t="n">
        <f aca="false">MAX(F184/설정!$B$69,F185/설정!$B$60)*1000</f>
        <v>0</v>
      </c>
      <c r="G186" s="68" t="n">
        <f aca="false">MAX(G184/설정!$B$69,G185/설정!$B$60)*1000</f>
        <v>0</v>
      </c>
      <c r="H186" s="68" t="n">
        <f aca="false">MAX(H184/설정!$B$69,H185/설정!$B$60)*1000</f>
        <v>0</v>
      </c>
      <c r="I186" s="2"/>
    </row>
    <row r="187" customFormat="false" ht="17.15" hidden="false" customHeight="false" outlineLevel="0" collapsed="false">
      <c r="A187" s="30" t="s">
        <v>370</v>
      </c>
      <c r="B187" s="68" t="n">
        <f aca="false">모델!$C$49*IF(설정!$B$40="CPU",설정!$B$41/1000+((1)*모델!$C$36*설정!$B$43/8+(1)*모델!$C$37*설정!$B$44)/(설정!$B$42*1000000000)*1000+(1)*모델!$C$36*설정!$B$45/1000000,설정!$B$46/1000)</f>
        <v>2.4017472</v>
      </c>
      <c r="C187" s="68" t="n">
        <f aca="false">모델!$C$49*IF(설정!$B$40="CPU",설정!$B$41/1000+((1)*모델!$C$36*설정!$B$43/8+(1)*모델!$C$37*설정!$B$44)/(설정!$B$42*1000000000)*1000+(1)*모델!$C$36*설정!$B$45/1000000,설정!$B$46/1000)</f>
        <v>2.4017472</v>
      </c>
      <c r="D187" s="68" t="n">
        <f aca="false">모델!$C$49*IF(설정!$B$40="CPU",설정!$B$41/1000+((1)*모델!$C$36*설정!$B$43/8+(1)*모델!$C$37*설정!$B$44)/(설정!$B$42*1000000000)*1000+(1)*모델!$C$36*설정!$B$45/1000000,설정!$B$46/1000)</f>
        <v>2.4017472</v>
      </c>
      <c r="E187" s="68" t="n">
        <f aca="false">모델!$C$49*IF(설정!$B$40="CPU",설정!$B$41/1000+((1)*모델!$C$36*설정!$B$43/8+(1)*모델!$C$37*설정!$B$44)/(설정!$B$42*1000000000)*1000+(1)*모델!$C$36*설정!$B$45/1000000,설정!$B$46/1000)</f>
        <v>2.4017472</v>
      </c>
      <c r="F187" s="68" t="n">
        <f aca="false">모델!$C$49*IF(설정!$B$40="CPU",설정!$B$41/1000+((1)*모델!$C$36*설정!$B$43/8+(1)*모델!$C$37*설정!$B$44)/(설정!$B$42*1000000000)*1000+(1)*모델!$C$36*설정!$B$45/1000000,설정!$B$46/1000)</f>
        <v>2.4017472</v>
      </c>
      <c r="G187" s="68" t="n">
        <f aca="false">모델!$C$49*IF(설정!$B$40="CPU",설정!$B$41/1000+((1)*모델!$C$36*설정!$B$43/8+(1)*모델!$C$37*설정!$B$44)/(설정!$B$42*1000000000)*1000+(1)*모델!$C$36*설정!$B$45/1000000,설정!$B$46/1000)</f>
        <v>2.4017472</v>
      </c>
      <c r="H187" s="68" t="n">
        <f aca="false">모델!$C$49*IF(설정!$B$40="CPU",설정!$B$41/1000+((1)*모델!$C$36*설정!$B$43/8+(1)*모델!$C$37*설정!$B$44)/(설정!$B$42*1000000000)*1000+(1)*모델!$C$36*설정!$B$45/1000000,설정!$B$46/1000)</f>
        <v>2.4017472</v>
      </c>
      <c r="I187" s="2"/>
    </row>
    <row r="188" customFormat="false" ht="17.15" hidden="false" customHeight="false" outlineLevel="0" collapsed="false">
      <c r="A188" s="33" t="s">
        <v>354</v>
      </c>
      <c r="B188" s="64" t="n">
        <f aca="false">B119+B122+B125+B128+B131+B134+B137+B140+B143+B146+B149+B152+B155+B158+B161+B164+B167+B170+B173+B176</f>
        <v>36.5386101960784</v>
      </c>
      <c r="C188" s="64" t="n">
        <f aca="false">C119+C122+C125+C128+C131+C134+C137+C140+C143+C146+C149+C152+C155+C158+C161+C164+C167+C170+C173+C176</f>
        <v>36.5386101960784</v>
      </c>
      <c r="D188" s="64" t="n">
        <f aca="false">D119+D122+D125+D128+D131+D134+D137+D140+D143+D146+D149+D152+D155+D158+D161+D164+D167+D170+D173+D176</f>
        <v>36.5386101960784</v>
      </c>
      <c r="E188" s="64" t="n">
        <f aca="false">E119+E122+E125+E128+E131+E134+E137+E140+E143+E146+E149+E152+E155+E158+E161+E164+E167+E170+E173+E176</f>
        <v>36.5386101960784</v>
      </c>
      <c r="F188" s="64" t="n">
        <f aca="false">F119+F122+F125+F128+F131+F134+F137+F140+F143+F146+F149+F152+F155+F158+F161+F164+F167+F170+F173+F176</f>
        <v>36.5386101960784</v>
      </c>
      <c r="G188" s="64" t="n">
        <f aca="false">G119+G122+G125+G128+G131+G134+G137+G140+G143+G146+G149+G152+G155+G158+G161+G164+G167+G170+G173+G176</f>
        <v>36.5386101960784</v>
      </c>
      <c r="H188" s="64" t="n">
        <f aca="false">H119+H122+H125+H128+H131+H134+H137+H140+H143+H146+H149+H152+H155+H158+H161+H164+H167+H170+H173+H176</f>
        <v>36.5386101960784</v>
      </c>
      <c r="I188" s="2"/>
    </row>
    <row r="189" customFormat="false" ht="17.15" hidden="false" customHeight="false" outlineLevel="0" collapsed="false">
      <c r="A189" s="33" t="s">
        <v>371</v>
      </c>
      <c r="B189" s="64" t="n">
        <f aca="false">B179+B183+B186</f>
        <v>0.0963764705882353</v>
      </c>
      <c r="C189" s="64" t="n">
        <f aca="false">C179+C183+C186</f>
        <v>0.127216941176471</v>
      </c>
      <c r="D189" s="64" t="n">
        <f aca="false">D179+D183+D186</f>
        <v>0.188897882352941</v>
      </c>
      <c r="E189" s="64" t="n">
        <f aca="false">E179+E183+E186</f>
        <v>0.312259764705882</v>
      </c>
      <c r="F189" s="64" t="n">
        <f aca="false">F179+F183+F186</f>
        <v>0.558983529411765</v>
      </c>
      <c r="G189" s="64" t="n">
        <f aca="false">G179+G183+G186</f>
        <v>1.05243105882353</v>
      </c>
      <c r="H189" s="64" t="n">
        <f aca="false">H179+H183+H186</f>
        <v>2.03932611764706</v>
      </c>
      <c r="I189" s="2"/>
    </row>
    <row r="190" customFormat="false" ht="17.15" hidden="false" customHeight="false" outlineLevel="0" collapsed="false">
      <c r="A190" s="33" t="s">
        <v>372</v>
      </c>
      <c r="B190" s="68" t="n">
        <f aca="false">(B118+B121+B124+B127+B130+B133+B136+B139+B142+B145+B148+B151+B154+B157+B160+B163+B166+B169+B172+B175+B178+B182+B185)/1000000000</f>
        <v>1.86838432</v>
      </c>
      <c r="C190" s="68" t="n">
        <f aca="false">(C118+C121+C124+C127+C130+C133+C136+C139+C142+C145+C148+C151+C154+C157+C160+C163+C166+C169+C172+C175+C178+C182+C185)/1000000000</f>
        <v>1.869957184</v>
      </c>
      <c r="D190" s="68" t="n">
        <f aca="false">(D118+D121+D124+D127+D130+D133+D136+D139+D142+D145+D148+D151+D154+D157+D160+D163+D166+D169+D172+D175+D178+D182+D185)/1000000000</f>
        <v>1.873102912</v>
      </c>
      <c r="E190" s="68" t="n">
        <f aca="false">(E118+E121+E124+E127+E130+E133+E136+E139+E142+E145+E148+E151+E154+E157+E160+E163+E166+E169+E172+E175+E178+E182+E185)/1000000000</f>
        <v>1.879394368</v>
      </c>
      <c r="F190" s="68" t="n">
        <f aca="false">(F118+F121+F124+F127+F130+F133+F136+F139+F142+F145+F148+F151+F154+F157+F160+F163+F166+F169+F172+F175+F178+F182+F185)/1000000000</f>
        <v>1.89197728</v>
      </c>
      <c r="G190" s="68" t="n">
        <f aca="false">(G118+G121+G124+G127+G130+G133+G136+G139+G142+G145+G148+G151+G154+G157+G160+G163+G166+G169+G172+G175+G178+G182+G185)/1000000000</f>
        <v>1.917143104</v>
      </c>
      <c r="H190" s="68" t="n">
        <f aca="false">(H118+H121+H124+H127+H130+H133+H136+H139+H142+H145+H148+H151+H154+H157+H160+H163+H166+H169+H172+H175+H178+H182+H185)/1000000000</f>
        <v>1.967474752</v>
      </c>
      <c r="I190" s="2"/>
    </row>
    <row r="191" customFormat="false" ht="17.15" hidden="false" customHeight="false" outlineLevel="0" collapsed="false">
      <c r="A191" s="7" t="s">
        <v>373</v>
      </c>
      <c r="B191" s="74" t="n">
        <f aca="false">(B188+B189)*(1+설정!$B$14)+B187+설정!$B$16</f>
        <v>42.7002325333333</v>
      </c>
      <c r="C191" s="74" t="n">
        <f aca="false">(C188+C189)*(1+설정!$B$14)+C187+설정!$B$16</f>
        <v>42.7341570509804</v>
      </c>
      <c r="D191" s="74" t="n">
        <f aca="false">(D188+D189)*(1+설정!$B$14)+D187+설정!$B$16</f>
        <v>42.8020060862745</v>
      </c>
      <c r="E191" s="74" t="n">
        <f aca="false">(E188+E189)*(1+설정!$B$14)+E187+설정!$B$16</f>
        <v>42.9377041568628</v>
      </c>
      <c r="F191" s="74" t="n">
        <f aca="false">(F188+F189)*(1+설정!$B$14)+F187+설정!$B$16</f>
        <v>43.2091002980392</v>
      </c>
      <c r="G191" s="74" t="n">
        <f aca="false">(G188+G189)*(1+설정!$B$14)+G187+설정!$B$16</f>
        <v>43.7518925803922</v>
      </c>
      <c r="H191" s="74" t="n">
        <f aca="false">(H188+H189)*(1+설정!$B$14)+H187+설정!$B$16</f>
        <v>44.8374771450981</v>
      </c>
      <c r="I191" s="2"/>
    </row>
    <row r="192" customFormat="false" ht="15" hidden="false" customHeight="false" outlineLevel="0" collapsed="false">
      <c r="A192" s="16" t="s">
        <v>15</v>
      </c>
      <c r="B192" s="71" t="n">
        <f aca="false">1000/B191</f>
        <v>23.4190762127434</v>
      </c>
      <c r="C192" s="71" t="n">
        <f aca="false">1000/C191</f>
        <v>23.4004849752163</v>
      </c>
      <c r="D192" s="71" t="n">
        <f aca="false">1000/D191</f>
        <v>23.3633909117328</v>
      </c>
      <c r="E192" s="71" t="n">
        <f aca="false">1000/E191</f>
        <v>23.2895544751703</v>
      </c>
      <c r="F192" s="71" t="n">
        <f aca="false">1000/F191</f>
        <v>23.1432729009027</v>
      </c>
      <c r="G192" s="71" t="n">
        <f aca="false">1000/G191</f>
        <v>22.8561541232198</v>
      </c>
      <c r="H192" s="71" t="n">
        <f aca="false">1000/H191</f>
        <v>22.3027713348793</v>
      </c>
      <c r="I192" s="2"/>
    </row>
    <row r="193" customFormat="false" ht="17.15" hidden="false" customHeight="false" outlineLevel="0" collapsed="false">
      <c r="A193" s="33" t="s">
        <v>374</v>
      </c>
      <c r="B193" s="72" t="n">
        <f aca="false">B187/B191</f>
        <v>0.0562467007205431</v>
      </c>
      <c r="C193" s="72" t="n">
        <f aca="false">C187/C191</f>
        <v>0.0562020492678678</v>
      </c>
      <c r="D193" s="72" t="n">
        <f aca="false">D187/D191</f>
        <v>0.0561129587047598</v>
      </c>
      <c r="E193" s="72" t="n">
        <f aca="false">E187/E191</f>
        <v>0.0559356222499877</v>
      </c>
      <c r="F193" s="72" t="n">
        <f aca="false">F187/F191</f>
        <v>0.0555842908885791</v>
      </c>
      <c r="G193" s="72" t="n">
        <f aca="false">G187/G191</f>
        <v>0.0548947041682116</v>
      </c>
      <c r="H193" s="72" t="n">
        <f aca="false">H187/H191</f>
        <v>0.0535656186057867</v>
      </c>
      <c r="I193" s="2"/>
    </row>
    <row r="194" customFormat="false" ht="17.15" hidden="false" customHeight="false" outlineLevel="0" collapsed="false">
      <c r="A194" s="33" t="s">
        <v>375</v>
      </c>
      <c r="B194" s="72" t="n">
        <f aca="false">B186*(1+설정!$B$14)/B191</f>
        <v>0</v>
      </c>
      <c r="C194" s="72" t="n">
        <f aca="false">C186*(1+설정!$B$14)/C191</f>
        <v>0</v>
      </c>
      <c r="D194" s="72" t="n">
        <f aca="false">D186*(1+설정!$B$14)/D191</f>
        <v>0</v>
      </c>
      <c r="E194" s="72" t="n">
        <f aca="false">E186*(1+설정!$B$14)/E191</f>
        <v>0</v>
      </c>
      <c r="F194" s="72" t="n">
        <f aca="false">F186*(1+설정!$B$14)/F191</f>
        <v>0</v>
      </c>
      <c r="G194" s="72" t="n">
        <f aca="false">G186*(1+설정!$B$14)/G191</f>
        <v>0</v>
      </c>
      <c r="H194" s="72" t="n">
        <f aca="false">H186*(1+설정!$B$14)/H191</f>
        <v>0</v>
      </c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7.15" hidden="false" customHeight="false" outlineLevel="0" collapsed="false">
      <c r="A196" s="28" t="s">
        <v>376</v>
      </c>
      <c r="B196" s="29"/>
      <c r="C196" s="29"/>
      <c r="D196" s="29"/>
      <c r="E196" s="29"/>
      <c r="F196" s="29"/>
      <c r="G196" s="29"/>
      <c r="H196" s="29"/>
      <c r="I196" s="29"/>
    </row>
    <row r="197" customFormat="false" ht="15" hidden="false" customHeight="false" outlineLevel="0" collapsed="false">
      <c r="A197" s="7" t="s">
        <v>377</v>
      </c>
      <c r="B197" s="73" t="n">
        <f aca="false">설정!$B$54+설정!$B$51/2</f>
        <v>256</v>
      </c>
      <c r="C197" s="73" t="n">
        <f aca="false">설정!$C$54+설정!$B$51/2</f>
        <v>384</v>
      </c>
      <c r="D197" s="73" t="n">
        <f aca="false">설정!$D$54+설정!$B$51/2</f>
        <v>640</v>
      </c>
      <c r="E197" s="73" t="n">
        <f aca="false">설정!$E$54+설정!$B$51/2</f>
        <v>1152</v>
      </c>
      <c r="F197" s="73" t="n">
        <f aca="false">설정!$F$54+설정!$B$51/2</f>
        <v>2176</v>
      </c>
      <c r="G197" s="73" t="n">
        <f aca="false">설정!$G$54+설정!$B$51/2</f>
        <v>4224</v>
      </c>
      <c r="H197" s="73" t="n">
        <f aca="false">설정!$H$54+설정!$B$51/2</f>
        <v>8320</v>
      </c>
      <c r="I197" s="2"/>
    </row>
    <row r="198" customFormat="false" ht="17.15" hidden="false" customHeight="false" outlineLevel="0" collapsed="false">
      <c r="A198" s="30" t="s">
        <v>378</v>
      </c>
      <c r="B198" s="68" t="n">
        <f aca="false">MAX(모델!$C$12*4*모델!$C$13*모델!$C$15*B197/설정!$B$68,모델!$C$12*(B197*2*모델!$C$14*모델!$C$15*설정!$B$58+2*모델!$C$13*모델!$C$15*설정!$B$57)/설정!$B$60)*1000</f>
        <v>0.0636084705882353</v>
      </c>
      <c r="C198" s="68" t="n">
        <f aca="false">MAX(모델!$C$12*4*모델!$C$13*모델!$C$15*C197/설정!$B$68,모델!$C$12*(C197*2*모델!$C$14*모델!$C$15*설정!$B$58+2*모델!$C$13*모델!$C$15*설정!$B$57)/설정!$B$60)*1000</f>
        <v>0.0944489411764706</v>
      </c>
      <c r="D198" s="68" t="n">
        <f aca="false">MAX(모델!$C$12*4*모델!$C$13*모델!$C$15*D197/설정!$B$68,모델!$C$12*(D197*2*모델!$C$14*모델!$C$15*설정!$B$58+2*모델!$C$13*모델!$C$15*설정!$B$57)/설정!$B$60)*1000</f>
        <v>0.156129882352941</v>
      </c>
      <c r="E198" s="68" t="n">
        <f aca="false">MAX(모델!$C$12*4*모델!$C$13*모델!$C$15*E197/설정!$B$68,모델!$C$12*(E197*2*모델!$C$14*모델!$C$15*설정!$B$58+2*모델!$C$13*모델!$C$15*설정!$B$57)/설정!$B$60)*1000</f>
        <v>0.279491764705882</v>
      </c>
      <c r="F198" s="68" t="n">
        <f aca="false">MAX(모델!$C$12*4*모델!$C$13*모델!$C$15*F197/설정!$B$68,모델!$C$12*(F197*2*모델!$C$14*모델!$C$15*설정!$B$58+2*모델!$C$13*모델!$C$15*설정!$B$57)/설정!$B$60)*1000</f>
        <v>0.526215529411765</v>
      </c>
      <c r="G198" s="68" t="n">
        <f aca="false">MAX(모델!$C$12*4*모델!$C$13*모델!$C$15*G197/설정!$B$68,모델!$C$12*(G197*2*모델!$C$14*모델!$C$15*설정!$B$58+2*모델!$C$13*모델!$C$15*설정!$B$57)/설정!$B$60)*1000</f>
        <v>1.01966305882353</v>
      </c>
      <c r="H198" s="68" t="n">
        <f aca="false">MAX(모델!$C$12*4*모델!$C$13*모델!$C$15*H197/설정!$B$68,모델!$C$12*(H197*2*모델!$C$14*모델!$C$15*설정!$B$58+2*모델!$C$13*모델!$C$15*설정!$B$57)/설정!$B$60)*1000</f>
        <v>2.00655811764706</v>
      </c>
      <c r="I198" s="2"/>
    </row>
    <row r="199" customFormat="false" ht="17.15" hidden="false" customHeight="false" outlineLevel="0" collapsed="false">
      <c r="A199" s="30" t="s">
        <v>379</v>
      </c>
      <c r="B199" s="68" t="n">
        <f aca="false">MAX(모델!$C$19*4*모델!$C$21*모델!$C$23*MIN(B197,모델!$C$20)/설정!$B$68,모델!$C$19*(MIN(B197,모델!$C$20)*2*모델!$C$22*모델!$C$23*설정!$B$58+2*모델!$C$21*모델!$C$23*설정!$B$57)/설정!$B$60)*1000</f>
        <v>0.032768</v>
      </c>
      <c r="C199" s="68" t="n">
        <f aca="false">MAX(모델!$C$19*4*모델!$C$21*모델!$C$23*MIN(C197,모델!$C$20)/설정!$B$68,모델!$C$19*(MIN(C197,모델!$C$20)*2*모델!$C$22*모델!$C$23*설정!$B$58+2*모델!$C$21*모델!$C$23*설정!$B$57)/설정!$B$60)*1000</f>
        <v>0.032768</v>
      </c>
      <c r="D199" s="68" t="n">
        <f aca="false">MAX(모델!$C$19*4*모델!$C$21*모델!$C$23*MIN(D197,모델!$C$20)/설정!$B$68,모델!$C$19*(MIN(D197,모델!$C$20)*2*모델!$C$22*모델!$C$23*설정!$B$58+2*모델!$C$21*모델!$C$23*설정!$B$57)/설정!$B$60)*1000</f>
        <v>0.032768</v>
      </c>
      <c r="E199" s="68" t="n">
        <f aca="false">MAX(모델!$C$19*4*모델!$C$21*모델!$C$23*MIN(E197,모델!$C$20)/설정!$B$68,모델!$C$19*(MIN(E197,모델!$C$20)*2*모델!$C$22*모델!$C$23*설정!$B$58+2*모델!$C$21*모델!$C$23*설정!$B$57)/설정!$B$60)*1000</f>
        <v>0.032768</v>
      </c>
      <c r="F199" s="68" t="n">
        <f aca="false">MAX(모델!$C$19*4*모델!$C$21*모델!$C$23*MIN(F197,모델!$C$20)/설정!$B$68,모델!$C$19*(MIN(F197,모델!$C$20)*2*모델!$C$22*모델!$C$23*설정!$B$58+2*모델!$C$21*모델!$C$23*설정!$B$57)/설정!$B$60)*1000</f>
        <v>0.032768</v>
      </c>
      <c r="G199" s="68" t="n">
        <f aca="false">MAX(모델!$C$19*4*모델!$C$21*모델!$C$23*MIN(G197,모델!$C$20)/설정!$B$68,모델!$C$19*(MIN(G197,모델!$C$20)*2*모델!$C$22*모델!$C$23*설정!$B$58+2*모델!$C$21*모델!$C$23*설정!$B$57)/설정!$B$60)*1000</f>
        <v>0.032768</v>
      </c>
      <c r="H199" s="68" t="n">
        <f aca="false">MAX(모델!$C$19*4*모델!$C$21*모델!$C$23*MIN(H197,모델!$C$20)/설정!$B$68,모델!$C$19*(MIN(H197,모델!$C$20)*2*모델!$C$22*모델!$C$23*설정!$B$58+2*모델!$C$21*모델!$C$23*설정!$B$57)/설정!$B$60)*1000</f>
        <v>0.032768</v>
      </c>
      <c r="I199" s="2"/>
    </row>
    <row r="200" customFormat="false" ht="17.15" hidden="false" customHeight="false" outlineLevel="0" collapsed="false">
      <c r="A200" s="33" t="s">
        <v>380</v>
      </c>
      <c r="B200" s="75" t="n">
        <f aca="false">(B188+B198+B199+B186)*(1+설정!$B$14)+B187+설정!$B$16</f>
        <v>42.7002325333333</v>
      </c>
      <c r="C200" s="75" t="n">
        <f aca="false">(C188+C198+C199+C186)*(1+설정!$B$14)+C187+설정!$B$16</f>
        <v>42.7341570509804</v>
      </c>
      <c r="D200" s="75" t="n">
        <f aca="false">(D188+D198+D199+D186)*(1+설정!$B$14)+D187+설정!$B$16</f>
        <v>42.8020060862745</v>
      </c>
      <c r="E200" s="75" t="n">
        <f aca="false">(E188+E198+E199+E186)*(1+설정!$B$14)+E187+설정!$B$16</f>
        <v>42.9377041568628</v>
      </c>
      <c r="F200" s="75" t="n">
        <f aca="false">(F188+F198+F199+F186)*(1+설정!$B$14)+F187+설정!$B$16</f>
        <v>43.2091002980392</v>
      </c>
      <c r="G200" s="75" t="n">
        <f aca="false">(G188+G198+G199+G186)*(1+설정!$B$14)+G187+설정!$B$16</f>
        <v>43.7518925803922</v>
      </c>
      <c r="H200" s="75" t="n">
        <f aca="false">(H188+H198+H199+H186)*(1+설정!$B$14)+H187+설정!$B$16</f>
        <v>44.8374771450981</v>
      </c>
      <c r="I200" s="2"/>
    </row>
    <row r="201" customFormat="false" ht="17.15" hidden="false" customHeight="false" outlineLevel="0" collapsed="false">
      <c r="A201" s="7" t="s">
        <v>381</v>
      </c>
      <c r="B201" s="74" t="n">
        <f aca="false">(B111+MAX(0,설정!$B$51-1)*B200)/1000</f>
        <v>11.1240500466258</v>
      </c>
      <c r="C201" s="74" t="n">
        <f aca="false">(C111+MAX(0,설정!$B$51-1)*C200)/1000</f>
        <v>11.1448232183818</v>
      </c>
      <c r="D201" s="74" t="n">
        <f aca="false">(D111+MAX(0,설정!$B$51-1)*D200)/1000</f>
        <v>11.1882620886689</v>
      </c>
      <c r="E201" s="74" t="n">
        <f aca="false">(E111+MAX(0,설정!$B$51-1)*E200)/1000</f>
        <v>11.2774767620467</v>
      </c>
      <c r="F201" s="74" t="n">
        <f aca="false">(F111+MAX(0,설정!$B$51-1)*F200)/1000</f>
        <v>11.6257147475737</v>
      </c>
      <c r="G201" s="74" t="n">
        <f aca="false">(G111+MAX(0,설정!$B$51-1)*G200)/1000</f>
        <v>12.4004230819248</v>
      </c>
      <c r="H201" s="74" t="n">
        <f aca="false">(H111+MAX(0,설정!$B$51-1)*H200)/1000</f>
        <v>14.0632268872413</v>
      </c>
      <c r="I201" s="32" t="s">
        <v>382</v>
      </c>
    </row>
    <row r="202" customFormat="false" ht="17.15" hidden="false" customHeight="false" outlineLevel="0" collapsed="false">
      <c r="A202" s="33" t="s">
        <v>383</v>
      </c>
      <c r="B202" s="66" t="n">
        <f aca="false">설정!$B$51/B201</f>
        <v>23.0132010308288</v>
      </c>
      <c r="C202" s="66" t="n">
        <f aca="false">설정!$B$51/C201</f>
        <v>22.9703060321104</v>
      </c>
      <c r="D202" s="66" t="n">
        <f aca="false">설정!$B$51/D201</f>
        <v>22.8811229099888</v>
      </c>
      <c r="E202" s="66" t="n">
        <f aca="false">설정!$B$51/E201</f>
        <v>22.7001132790221</v>
      </c>
      <c r="F202" s="66" t="n">
        <f aca="false">설정!$B$51/F201</f>
        <v>22.0201514967867</v>
      </c>
      <c r="G202" s="66" t="n">
        <f aca="false">설정!$B$51/G201</f>
        <v>20.6444569115673</v>
      </c>
      <c r="H202" s="66" t="n">
        <f aca="false">설정!$B$51/H201</f>
        <v>18.2035035097281</v>
      </c>
      <c r="I202" s="2"/>
    </row>
    <row r="203" customFormat="false" ht="17.15" hidden="false" customHeight="false" outlineLevel="0" collapsed="false">
      <c r="A203" s="33" t="s">
        <v>384</v>
      </c>
      <c r="B203" s="72" t="n">
        <f aca="false">B111/1000/B201</f>
        <v>0.0211695155666107</v>
      </c>
      <c r="C203" s="72" t="n">
        <f aca="false">C111/1000/C201</f>
        <v>0.0222177746142622</v>
      </c>
      <c r="D203" s="72" t="n">
        <f aca="false">D111/1000/D201</f>
        <v>0.0244676549851392</v>
      </c>
      <c r="E203" s="72" t="n">
        <f aca="false">E111/1000/E201</f>
        <v>0.0291166374336338</v>
      </c>
      <c r="F203" s="72" t="n">
        <f aca="false">F111/1000/F201</f>
        <v>0.0522457487356184</v>
      </c>
      <c r="G203" s="72" t="n">
        <f aca="false">G111/1000/G201</f>
        <v>0.100294196876041</v>
      </c>
      <c r="H203" s="72" t="n">
        <f aca="false">H111/1000/H201</f>
        <v>0.186989105439736</v>
      </c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7.15" hidden="false" customHeight="false" outlineLevel="0" collapsed="false">
      <c r="A205" s="40" t="s">
        <v>385</v>
      </c>
      <c r="B205" s="29"/>
      <c r="C205" s="29"/>
      <c r="D205" s="29"/>
      <c r="E205" s="29"/>
      <c r="F205" s="29"/>
      <c r="G205" s="29"/>
      <c r="H205" s="29"/>
      <c r="I205" s="29"/>
    </row>
    <row r="206" customFormat="false" ht="15" hidden="false" customHeight="false" outlineLevel="0" collapsed="false">
      <c r="A206" s="7" t="s">
        <v>386</v>
      </c>
      <c r="B206" s="73" t="n">
        <f aca="false">설정!$B$54+설정!$B$51</f>
        <v>384</v>
      </c>
      <c r="C206" s="73" t="n">
        <f aca="false">설정!$C$54+설정!$B$51</f>
        <v>512</v>
      </c>
      <c r="D206" s="73" t="n">
        <f aca="false">설정!$D$54+설정!$B$51</f>
        <v>768</v>
      </c>
      <c r="E206" s="73" t="n">
        <f aca="false">설정!$E$54+설정!$B$51</f>
        <v>1280</v>
      </c>
      <c r="F206" s="73" t="n">
        <f aca="false">설정!$F$54+설정!$B$51</f>
        <v>2304</v>
      </c>
      <c r="G206" s="73" t="n">
        <f aca="false">설정!$G$54+설정!$B$51</f>
        <v>4352</v>
      </c>
      <c r="H206" s="73" t="n">
        <f aca="false">설정!$H$54+설정!$B$51</f>
        <v>8448</v>
      </c>
      <c r="I206" s="2"/>
    </row>
    <row r="207" customFormat="false" ht="17.15" hidden="false" customHeight="false" outlineLevel="0" collapsed="false">
      <c r="A207" s="33" t="s">
        <v>387</v>
      </c>
      <c r="B207" s="64" t="n">
        <f aca="false">모델!$C$61*1000000000/1073741824</f>
        <v>10.0412249565125</v>
      </c>
      <c r="C207" s="64" t="n">
        <f aca="false">모델!$C$61*1000000000/1073741824</f>
        <v>10.0412249565125</v>
      </c>
      <c r="D207" s="64" t="n">
        <f aca="false">모델!$C$61*1000000000/1073741824</f>
        <v>10.0412249565125</v>
      </c>
      <c r="E207" s="64" t="n">
        <f aca="false">모델!$C$61*1000000000/1073741824</f>
        <v>10.0412249565125</v>
      </c>
      <c r="F207" s="64" t="n">
        <f aca="false">모델!$C$61*1000000000/1073741824</f>
        <v>10.0412249565125</v>
      </c>
      <c r="G207" s="64" t="n">
        <f aca="false">모델!$C$61*1000000000/1073741824</f>
        <v>10.0412249565125</v>
      </c>
      <c r="H207" s="64" t="n">
        <f aca="false">모델!$C$61*1000000000/1073741824</f>
        <v>10.0412249565125</v>
      </c>
      <c r="I207" s="2"/>
    </row>
    <row r="208" customFormat="false" ht="15" hidden="false" customHeight="false" outlineLevel="0" collapsed="false">
      <c r="A208" s="30" t="s">
        <v>388</v>
      </c>
      <c r="B208" s="68" t="n">
        <f aca="false">(모델!$C$12*2*모델!$C$14*모델!$C$15*설정!$B$58*B206+모델!$C$19*2*모델!$C$22*모델!$C$23*설정!$B$58*MIN(B206,모델!$C$20)+모델!$C$26*(모델!$C$29*모델!$C$28*모델!$C$30*설정!$B$59+MAX(0,모델!$C$31-1)*모델!$C$52*설정!$B$57))/1073741824</f>
        <v>0.005859375</v>
      </c>
      <c r="C208" s="68" t="n">
        <f aca="false">(모델!$C$12*2*모델!$C$14*모델!$C$15*설정!$B$58*C206+모델!$C$19*2*모델!$C$22*모델!$C$23*설정!$B$58*MIN(C206,모델!$C$20)+모델!$C$26*(모델!$C$29*모델!$C$28*모델!$C$30*설정!$B$59+MAX(0,모델!$C$31-1)*모델!$C$52*설정!$B$57))/1073741824</f>
        <v>0.00732421875</v>
      </c>
      <c r="D208" s="68" t="n">
        <f aca="false">(모델!$C$12*2*모델!$C$14*모델!$C$15*설정!$B$58*D206+모델!$C$19*2*모델!$C$22*모델!$C$23*설정!$B$58*MIN(D206,모델!$C$20)+모델!$C$26*(모델!$C$29*모델!$C$28*모델!$C$30*설정!$B$59+MAX(0,모델!$C$31-1)*모델!$C$52*설정!$B$57))/1073741824</f>
        <v>0.01025390625</v>
      </c>
      <c r="E208" s="68" t="n">
        <f aca="false">(모델!$C$12*2*모델!$C$14*모델!$C$15*설정!$B$58*E206+모델!$C$19*2*모델!$C$22*모델!$C$23*설정!$B$58*MIN(E206,모델!$C$20)+모델!$C$26*(모델!$C$29*모델!$C$28*모델!$C$30*설정!$B$59+MAX(0,모델!$C$31-1)*모델!$C$52*설정!$B$57))/1073741824</f>
        <v>0.01611328125</v>
      </c>
      <c r="F208" s="68" t="n">
        <f aca="false">(모델!$C$12*2*모델!$C$14*모델!$C$15*설정!$B$58*F206+모델!$C$19*2*모델!$C$22*모델!$C$23*설정!$B$58*MIN(F206,모델!$C$20)+모델!$C$26*(모델!$C$29*모델!$C$28*모델!$C$30*설정!$B$59+MAX(0,모델!$C$31-1)*모델!$C$52*설정!$B$57))/1073741824</f>
        <v>0.02783203125</v>
      </c>
      <c r="G208" s="68" t="n">
        <f aca="false">(모델!$C$12*2*모델!$C$14*모델!$C$15*설정!$B$58*G206+모델!$C$19*2*모델!$C$22*모델!$C$23*설정!$B$58*MIN(G206,모델!$C$20)+모델!$C$26*(모델!$C$29*모델!$C$28*모델!$C$30*설정!$B$59+MAX(0,모델!$C$31-1)*모델!$C$52*설정!$B$57))/1073741824</f>
        <v>0.05126953125</v>
      </c>
      <c r="H208" s="68" t="n">
        <f aca="false">(모델!$C$12*2*모델!$C$14*모델!$C$15*설정!$B$58*H206+모델!$C$19*2*모델!$C$22*모델!$C$23*설정!$B$58*MIN(H206,모델!$C$20)+모델!$C$26*(모델!$C$29*모델!$C$28*모델!$C$30*설정!$B$59+MAX(0,모델!$C$31-1)*모델!$C$52*설정!$B$57))/1073741824</f>
        <v>0.09814453125</v>
      </c>
      <c r="I208" s="2"/>
    </row>
    <row r="209" customFormat="false" ht="17.15" hidden="false" customHeight="false" outlineLevel="0" collapsed="false">
      <c r="A209" s="33" t="s">
        <v>389</v>
      </c>
      <c r="B209" s="64" t="n">
        <f aca="false">설정!$B$13</f>
        <v>0.5</v>
      </c>
      <c r="C209" s="64" t="n">
        <f aca="false">설정!$B$13</f>
        <v>0.5</v>
      </c>
      <c r="D209" s="64" t="n">
        <f aca="false">설정!$B$13</f>
        <v>0.5</v>
      </c>
      <c r="E209" s="64" t="n">
        <f aca="false">설정!$B$13</f>
        <v>0.5</v>
      </c>
      <c r="F209" s="64" t="n">
        <f aca="false">설정!$B$13</f>
        <v>0.5</v>
      </c>
      <c r="G209" s="64" t="n">
        <f aca="false">설정!$B$13</f>
        <v>0.5</v>
      </c>
      <c r="H209" s="64" t="n">
        <f aca="false">설정!$B$13</f>
        <v>0.5</v>
      </c>
      <c r="I209" s="2"/>
    </row>
    <row r="210" customFormat="false" ht="17.15" hidden="false" customHeight="false" outlineLevel="0" collapsed="false">
      <c r="A210" s="7" t="s">
        <v>390</v>
      </c>
      <c r="B210" s="76" t="n">
        <f aca="false">B207+B208+B209</f>
        <v>10.5470843315125</v>
      </c>
      <c r="C210" s="76" t="n">
        <f aca="false">C207+C208+C209</f>
        <v>10.5485491752625</v>
      </c>
      <c r="D210" s="76" t="n">
        <f aca="false">D207+D208+D209</f>
        <v>10.5514788627625</v>
      </c>
      <c r="E210" s="76" t="n">
        <f aca="false">E207+E208+E209</f>
        <v>10.5573382377625</v>
      </c>
      <c r="F210" s="76" t="n">
        <f aca="false">F207+F208+F209</f>
        <v>10.5690569877625</v>
      </c>
      <c r="G210" s="76" t="n">
        <f aca="false">G207+G208+G209</f>
        <v>10.5924944877625</v>
      </c>
      <c r="H210" s="76" t="n">
        <f aca="false">H207+H208+H209</f>
        <v>10.6393694877625</v>
      </c>
      <c r="I210" s="2"/>
    </row>
    <row r="211" customFormat="false" ht="17.15" hidden="false" customHeight="false" outlineLevel="0" collapsed="false">
      <c r="A211" s="30" t="s">
        <v>391</v>
      </c>
      <c r="B211" s="70" t="str">
        <f aca="false">IF(B210&lt;=설정!$B$62,"OK +"&amp;TEXT(설정!$B$62-B210,"0.0"),"초과 -"&amp;TEXT(B210-설정!$B$62,"0.0"))</f>
        <v>OK +2.5</v>
      </c>
      <c r="C211" s="70" t="str">
        <f aca="false">IF(C210&lt;=설정!$B$62,"OK +"&amp;TEXT(설정!$B$62-C210,"0.0"),"초과 -"&amp;TEXT(C210-설정!$B$62,"0.0"))</f>
        <v>OK +2.5</v>
      </c>
      <c r="D211" s="70" t="str">
        <f aca="false">IF(D210&lt;=설정!$B$62,"OK +"&amp;TEXT(설정!$B$62-D210,"0.0"),"초과 -"&amp;TEXT(D210-설정!$B$62,"0.0"))</f>
        <v>OK +2.4</v>
      </c>
      <c r="E211" s="70" t="str">
        <f aca="false">IF(E210&lt;=설정!$B$62,"OK +"&amp;TEXT(설정!$B$62-E210,"0.0"),"초과 -"&amp;TEXT(E210-설정!$B$62,"0.0"))</f>
        <v>OK +2.4</v>
      </c>
      <c r="F211" s="70" t="str">
        <f aca="false">IF(F210&lt;=설정!$B$62,"OK +"&amp;TEXT(설정!$B$62-F210,"0.0"),"초과 -"&amp;TEXT(F210-설정!$B$62,"0.0"))</f>
        <v>OK +2.4</v>
      </c>
      <c r="G211" s="70" t="str">
        <f aca="false">IF(G210&lt;=설정!$B$62,"OK +"&amp;TEXT(설정!$B$62-G210,"0.0"),"초과 -"&amp;TEXT(G210-설정!$B$62,"0.0"))</f>
        <v>OK +2.4</v>
      </c>
      <c r="H211" s="70" t="str">
        <f aca="false">IF(H210&lt;=설정!$B$62,"OK +"&amp;TEXT(설정!$B$62-H210,"0.0"),"초과 -"&amp;TEXT(H210-설정!$B$62,"0.0"))</f>
        <v>OK +2.4</v>
      </c>
      <c r="I2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4"/>
  </cols>
  <sheetData>
    <row r="1" customFormat="false" ht="21.6" hidden="false" customHeight="false" outlineLevel="0" collapsed="false">
      <c r="A1" s="1" t="str">
        <f aca="false">모델!D6&amp;" — 계산 상세"</f>
        <v>Qwen3.6-35B-A3B — 계산 상세</v>
      </c>
      <c r="B1" s="2"/>
      <c r="C1" s="2"/>
      <c r="D1" s="2"/>
      <c r="E1" s="2"/>
      <c r="F1" s="2"/>
      <c r="G1" s="2"/>
      <c r="H1" s="2"/>
      <c r="I1" s="2"/>
    </row>
    <row r="2" customFormat="false" ht="17.15" hidden="false" customHeight="false" outlineLevel="0" collapsed="false">
      <c r="A2" s="27" t="s">
        <v>242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7.15" hidden="false" customHeight="false" outlineLevel="0" collapsed="false">
      <c r="A4" s="48" t="s">
        <v>243</v>
      </c>
      <c r="B4" s="35" t="s">
        <v>244</v>
      </c>
      <c r="C4" s="35" t="s">
        <v>245</v>
      </c>
      <c r="D4" s="48" t="s">
        <v>246</v>
      </c>
      <c r="E4" s="48" t="s">
        <v>247</v>
      </c>
      <c r="F4" s="48" t="s">
        <v>248</v>
      </c>
      <c r="G4" s="35" t="s">
        <v>61</v>
      </c>
      <c r="H4" s="35" t="s">
        <v>249</v>
      </c>
      <c r="I4" s="48" t="s">
        <v>250</v>
      </c>
    </row>
    <row r="5" customFormat="false" ht="15" hidden="false" customHeight="false" outlineLevel="0" collapsed="false">
      <c r="A5" s="30" t="s">
        <v>251</v>
      </c>
      <c r="B5" s="59" t="n">
        <f aca="false">모델!$D$8</f>
        <v>2048</v>
      </c>
      <c r="C5" s="59" t="n">
        <f aca="false">모델!$D$13*모델!$D$15*모델!$D$16</f>
        <v>8192</v>
      </c>
      <c r="D5" s="59" t="n">
        <f aca="false">모델!$D$12</f>
        <v>10</v>
      </c>
      <c r="E5" s="2" t="s">
        <v>252</v>
      </c>
      <c r="F5" s="2" t="s">
        <v>65</v>
      </c>
      <c r="G5" s="60" t="n">
        <f aca="false">설정!$B$27</f>
        <v>4</v>
      </c>
      <c r="H5" s="61" t="n">
        <f aca="false">(설정!$B$27/8+IF(설정!$C$27=0,설정!$D$27/8/MAX(1,$B$5),설정!$D$27/8/설정!$C$27))</f>
        <v>0.515625</v>
      </c>
      <c r="I5" s="62" t="n">
        <f aca="false">설정!$B$63</f>
        <v>24000000000000</v>
      </c>
    </row>
    <row r="6" customFormat="false" ht="15" hidden="false" customHeight="false" outlineLevel="0" collapsed="false">
      <c r="A6" s="30" t="s">
        <v>253</v>
      </c>
      <c r="B6" s="59" t="n">
        <f aca="false">모델!$D$8</f>
        <v>2048</v>
      </c>
      <c r="C6" s="59" t="n">
        <f aca="false">모델!$D$14*모델!$D$15</f>
        <v>512</v>
      </c>
      <c r="D6" s="59" t="n">
        <f aca="false">모델!$D$12</f>
        <v>10</v>
      </c>
      <c r="E6" s="2" t="s">
        <v>252</v>
      </c>
      <c r="F6" s="2" t="s">
        <v>65</v>
      </c>
      <c r="G6" s="60" t="n">
        <f aca="false">설정!$B$27</f>
        <v>4</v>
      </c>
      <c r="H6" s="61" t="n">
        <f aca="false">(설정!$B$27/8+IF(설정!$C$27=0,설정!$D$27/8/MAX(1,$B$6),설정!$D$27/8/설정!$C$27))</f>
        <v>0.515625</v>
      </c>
      <c r="I6" s="62" t="n">
        <f aca="false">설정!$B$63</f>
        <v>24000000000000</v>
      </c>
    </row>
    <row r="7" customFormat="false" ht="15" hidden="false" customHeight="false" outlineLevel="0" collapsed="false">
      <c r="A7" s="30" t="s">
        <v>254</v>
      </c>
      <c r="B7" s="59" t="n">
        <f aca="false">모델!$D$8</f>
        <v>2048</v>
      </c>
      <c r="C7" s="59" t="n">
        <f aca="false">모델!$D$14*모델!$D$15</f>
        <v>512</v>
      </c>
      <c r="D7" s="59" t="n">
        <f aca="false">모델!$D$12*모델!$D$17</f>
        <v>10</v>
      </c>
      <c r="E7" s="2" t="s">
        <v>252</v>
      </c>
      <c r="F7" s="2" t="s">
        <v>65</v>
      </c>
      <c r="G7" s="60" t="n">
        <f aca="false">설정!$B$27</f>
        <v>4</v>
      </c>
      <c r="H7" s="61" t="n">
        <f aca="false">(설정!$B$27/8+IF(설정!$C$27=0,설정!$D$27/8/MAX(1,$B$7),설정!$D$27/8/설정!$C$27))</f>
        <v>0.515625</v>
      </c>
      <c r="I7" s="62" t="n">
        <f aca="false">설정!$B$63</f>
        <v>24000000000000</v>
      </c>
    </row>
    <row r="8" customFormat="false" ht="15" hidden="false" customHeight="false" outlineLevel="0" collapsed="false">
      <c r="A8" s="30" t="s">
        <v>255</v>
      </c>
      <c r="B8" s="59" t="n">
        <f aca="false">모델!$D$13*모델!$D$15</f>
        <v>4096</v>
      </c>
      <c r="C8" s="59" t="n">
        <f aca="false">모델!$D$8</f>
        <v>2048</v>
      </c>
      <c r="D8" s="59" t="n">
        <f aca="false">모델!$D$12</f>
        <v>10</v>
      </c>
      <c r="E8" s="2" t="s">
        <v>252</v>
      </c>
      <c r="F8" s="2" t="s">
        <v>65</v>
      </c>
      <c r="G8" s="60" t="n">
        <f aca="false">설정!$B$27</f>
        <v>4</v>
      </c>
      <c r="H8" s="61" t="n">
        <f aca="false">(설정!$B$27/8+IF(설정!$C$27=0,설정!$D$27/8/MAX(1,$B$8),설정!$D$27/8/설정!$C$27))</f>
        <v>0.515625</v>
      </c>
      <c r="I8" s="62" t="n">
        <f aca="false">설정!$B$63</f>
        <v>24000000000000</v>
      </c>
    </row>
    <row r="9" customFormat="false" ht="15" hidden="false" customHeight="false" outlineLevel="0" collapsed="false">
      <c r="A9" s="30" t="s">
        <v>256</v>
      </c>
      <c r="B9" s="59" t="n">
        <f aca="false">모델!$D$8</f>
        <v>2048</v>
      </c>
      <c r="C9" s="59" t="n">
        <f aca="false">모델!$D$21*모델!$D$23</f>
        <v>0</v>
      </c>
      <c r="D9" s="59" t="n">
        <f aca="false">모델!$D$19</f>
        <v>0</v>
      </c>
      <c r="E9" s="2" t="s">
        <v>252</v>
      </c>
      <c r="F9" s="2" t="s">
        <v>65</v>
      </c>
      <c r="G9" s="60" t="n">
        <f aca="false">설정!$B$27</f>
        <v>4</v>
      </c>
      <c r="H9" s="61" t="n">
        <f aca="false">(설정!$B$27/8+IF(설정!$C$27=0,설정!$D$27/8/MAX(1,$B$9),설정!$D$27/8/설정!$C$27))</f>
        <v>0.515625</v>
      </c>
      <c r="I9" s="62" t="n">
        <f aca="false">설정!$B$63</f>
        <v>24000000000000</v>
      </c>
    </row>
    <row r="10" customFormat="false" ht="15" hidden="false" customHeight="false" outlineLevel="0" collapsed="false">
      <c r="A10" s="30" t="s">
        <v>257</v>
      </c>
      <c r="B10" s="59" t="n">
        <f aca="false">모델!$D$8</f>
        <v>2048</v>
      </c>
      <c r="C10" s="59" t="n">
        <f aca="false">모델!$D$22*모델!$D$23</f>
        <v>0</v>
      </c>
      <c r="D10" s="59" t="n">
        <f aca="false">모델!$D$19</f>
        <v>0</v>
      </c>
      <c r="E10" s="2" t="s">
        <v>252</v>
      </c>
      <c r="F10" s="2" t="s">
        <v>65</v>
      </c>
      <c r="G10" s="60" t="n">
        <f aca="false">설정!$B$27</f>
        <v>4</v>
      </c>
      <c r="H10" s="61" t="n">
        <f aca="false">(설정!$B$27/8+IF(설정!$C$27=0,설정!$D$27/8/MAX(1,$B$10),설정!$D$27/8/설정!$C$27))</f>
        <v>0.515625</v>
      </c>
      <c r="I10" s="62" t="n">
        <f aca="false">설정!$B$63</f>
        <v>24000000000000</v>
      </c>
    </row>
    <row r="11" customFormat="false" ht="15" hidden="false" customHeight="false" outlineLevel="0" collapsed="false">
      <c r="A11" s="30" t="s">
        <v>258</v>
      </c>
      <c r="B11" s="59" t="n">
        <f aca="false">모델!$D$8</f>
        <v>2048</v>
      </c>
      <c r="C11" s="59" t="n">
        <f aca="false">모델!$D$22*모델!$D$23</f>
        <v>0</v>
      </c>
      <c r="D11" s="59" t="n">
        <f aca="false">모델!$D$19*모델!$D$24</f>
        <v>0</v>
      </c>
      <c r="E11" s="2" t="s">
        <v>252</v>
      </c>
      <c r="F11" s="2" t="s">
        <v>65</v>
      </c>
      <c r="G11" s="60" t="n">
        <f aca="false">설정!$B$27</f>
        <v>4</v>
      </c>
      <c r="H11" s="61" t="n">
        <f aca="false">(설정!$B$27/8+IF(설정!$C$27=0,설정!$D$27/8/MAX(1,$B$11),설정!$D$27/8/설정!$C$27))</f>
        <v>0.515625</v>
      </c>
      <c r="I11" s="62" t="n">
        <f aca="false">설정!$B$63</f>
        <v>24000000000000</v>
      </c>
    </row>
    <row r="12" customFormat="false" ht="15" hidden="false" customHeight="false" outlineLevel="0" collapsed="false">
      <c r="A12" s="30" t="s">
        <v>259</v>
      </c>
      <c r="B12" s="59" t="n">
        <f aca="false">모델!$D$21*모델!$D$23</f>
        <v>0</v>
      </c>
      <c r="C12" s="59" t="n">
        <f aca="false">모델!$D$8</f>
        <v>2048</v>
      </c>
      <c r="D12" s="59" t="n">
        <f aca="false">모델!$D$19</f>
        <v>0</v>
      </c>
      <c r="E12" s="2" t="s">
        <v>252</v>
      </c>
      <c r="F12" s="2" t="s">
        <v>65</v>
      </c>
      <c r="G12" s="60" t="n">
        <f aca="false">설정!$B$27</f>
        <v>4</v>
      </c>
      <c r="H12" s="61" t="n">
        <f aca="false">(설정!$B$27/8+IF(설정!$C$27=0,설정!$D$27/8/MAX(1,$B$12),설정!$D$27/8/설정!$C$27))</f>
        <v>0.515625</v>
      </c>
      <c r="I12" s="62" t="n">
        <f aca="false">설정!$B$63</f>
        <v>24000000000000</v>
      </c>
    </row>
    <row r="13" customFormat="false" ht="15" hidden="false" customHeight="false" outlineLevel="0" collapsed="false">
      <c r="A13" s="30" t="s">
        <v>260</v>
      </c>
      <c r="B13" s="59" t="n">
        <f aca="false">모델!$D$8</f>
        <v>2048</v>
      </c>
      <c r="C13" s="59" t="n">
        <f aca="false">모델!$D$52</f>
        <v>8192</v>
      </c>
      <c r="D13" s="59" t="n">
        <f aca="false">모델!$D$26</f>
        <v>30</v>
      </c>
      <c r="E13" s="2" t="s">
        <v>252</v>
      </c>
      <c r="F13" s="2" t="s">
        <v>67</v>
      </c>
      <c r="G13" s="60" t="n">
        <f aca="false">설정!$B$28</f>
        <v>4</v>
      </c>
      <c r="H13" s="61" t="n">
        <f aca="false">(설정!$B$28/8+IF(설정!$C$28=0,설정!$D$28/8/MAX(1,$B$13),설정!$D$28/8/설정!$C$28))</f>
        <v>0.515625</v>
      </c>
      <c r="I13" s="62" t="n">
        <f aca="false">설정!$B$64</f>
        <v>24000000000000</v>
      </c>
    </row>
    <row r="14" customFormat="false" ht="15" hidden="false" customHeight="false" outlineLevel="0" collapsed="false">
      <c r="A14" s="30" t="s">
        <v>261</v>
      </c>
      <c r="B14" s="59" t="n">
        <f aca="false">모델!$D$8</f>
        <v>2048</v>
      </c>
      <c r="C14" s="59" t="n">
        <f aca="false">모델!$D$29*모델!$D$30</f>
        <v>4096</v>
      </c>
      <c r="D14" s="59" t="n">
        <f aca="false">모델!$D$26</f>
        <v>30</v>
      </c>
      <c r="E14" s="2" t="s">
        <v>252</v>
      </c>
      <c r="F14" s="2" t="s">
        <v>67</v>
      </c>
      <c r="G14" s="60" t="n">
        <f aca="false">설정!$B$28</f>
        <v>4</v>
      </c>
      <c r="H14" s="61" t="n">
        <f aca="false">(설정!$B$28/8+IF(설정!$C$28=0,설정!$D$28/8/MAX(1,$B$14),설정!$D$28/8/설정!$C$28))</f>
        <v>0.515625</v>
      </c>
      <c r="I14" s="62" t="n">
        <f aca="false">설정!$B$64</f>
        <v>24000000000000</v>
      </c>
    </row>
    <row r="15" customFormat="false" ht="15" hidden="false" customHeight="false" outlineLevel="0" collapsed="false">
      <c r="A15" s="30" t="s">
        <v>262</v>
      </c>
      <c r="B15" s="59" t="n">
        <f aca="false">모델!$D$8</f>
        <v>2048</v>
      </c>
      <c r="C15" s="59" t="n">
        <f aca="false">2*모델!$D$29</f>
        <v>64</v>
      </c>
      <c r="D15" s="59" t="n">
        <f aca="false">모델!$D$26</f>
        <v>30</v>
      </c>
      <c r="E15" s="2" t="s">
        <v>252</v>
      </c>
      <c r="F15" s="2" t="s">
        <v>67</v>
      </c>
      <c r="G15" s="60" t="n">
        <f aca="false">설정!$B$28</f>
        <v>4</v>
      </c>
      <c r="H15" s="61" t="n">
        <f aca="false">(설정!$B$28/8+IF(설정!$C$28=0,설정!$D$28/8/MAX(1,$B$15),설정!$D$28/8/설정!$C$28))</f>
        <v>0.515625</v>
      </c>
      <c r="I15" s="62" t="n">
        <f aca="false">설정!$B$64</f>
        <v>24000000000000</v>
      </c>
    </row>
    <row r="16" customFormat="false" ht="15" hidden="false" customHeight="false" outlineLevel="0" collapsed="false">
      <c r="A16" s="30" t="s">
        <v>263</v>
      </c>
      <c r="B16" s="59" t="n">
        <f aca="false">모델!$D$29*모델!$D$30</f>
        <v>4096</v>
      </c>
      <c r="C16" s="59" t="n">
        <f aca="false">모델!$D$8</f>
        <v>2048</v>
      </c>
      <c r="D16" s="59" t="n">
        <f aca="false">모델!$D$26</f>
        <v>30</v>
      </c>
      <c r="E16" s="2" t="s">
        <v>252</v>
      </c>
      <c r="F16" s="2" t="s">
        <v>67</v>
      </c>
      <c r="G16" s="60" t="n">
        <f aca="false">설정!$B$28</f>
        <v>4</v>
      </c>
      <c r="H16" s="61" t="n">
        <f aca="false">(설정!$B$28/8+IF(설정!$C$28=0,설정!$D$28/8/MAX(1,$B$16),설정!$D$28/8/설정!$C$28))</f>
        <v>0.515625</v>
      </c>
      <c r="I16" s="62" t="n">
        <f aca="false">설정!$B$64</f>
        <v>24000000000000</v>
      </c>
    </row>
    <row r="17" customFormat="false" ht="15" hidden="false" customHeight="false" outlineLevel="0" collapsed="false">
      <c r="A17" s="30" t="s">
        <v>264</v>
      </c>
      <c r="B17" s="59" t="n">
        <f aca="false">모델!$D$8</f>
        <v>2048</v>
      </c>
      <c r="C17" s="59" t="n">
        <f aca="false">모델!$D$36</f>
        <v>256</v>
      </c>
      <c r="D17" s="59" t="n">
        <f aca="false">IF(모델!$D$36&gt;1,모델!$D$7,0)</f>
        <v>40</v>
      </c>
      <c r="E17" s="2" t="s">
        <v>252</v>
      </c>
      <c r="F17" s="2" t="s">
        <v>71</v>
      </c>
      <c r="G17" s="60" t="n">
        <f aca="false">설정!$B$30</f>
        <v>8</v>
      </c>
      <c r="H17" s="61" t="n">
        <f aca="false">(설정!$B$30/8+IF(설정!$C$30=0,설정!$D$30/8/MAX(1,$B$17),설정!$D$30/8/설정!$C$30))</f>
        <v>1.015625</v>
      </c>
      <c r="I17" s="62" t="n">
        <f aca="false">설정!$B$66</f>
        <v>24000000000000</v>
      </c>
    </row>
    <row r="18" customFormat="false" ht="15" hidden="false" customHeight="false" outlineLevel="0" collapsed="false">
      <c r="A18" s="30" t="s">
        <v>265</v>
      </c>
      <c r="B18" s="59" t="n">
        <f aca="false">모델!$D$8</f>
        <v>2048</v>
      </c>
      <c r="C18" s="59" t="n">
        <f aca="false">모델!$D$34</f>
        <v>512</v>
      </c>
      <c r="D18" s="59" t="n">
        <f aca="false">IF(AND(모델!$D$34&gt;0,모델!$D$35&gt;=3),모델!$D$7,0)</f>
        <v>40</v>
      </c>
      <c r="E18" s="2" t="s">
        <v>252</v>
      </c>
      <c r="F18" s="2" t="s">
        <v>69</v>
      </c>
      <c r="G18" s="60" t="n">
        <f aca="false">설정!$B$29</f>
        <v>4</v>
      </c>
      <c r="H18" s="61" t="n">
        <f aca="false">(설정!$B$29/8+IF(설정!$C$29=0,설정!$D$29/8/MAX(1,$B$18),설정!$D$29/8/설정!$C$29))</f>
        <v>0.515625</v>
      </c>
      <c r="I18" s="62" t="n">
        <f aca="false">설정!$B$65</f>
        <v>24000000000000</v>
      </c>
    </row>
    <row r="19" customFormat="false" ht="15" hidden="false" customHeight="false" outlineLevel="0" collapsed="false">
      <c r="A19" s="30" t="s">
        <v>266</v>
      </c>
      <c r="B19" s="59" t="n">
        <f aca="false">모델!$D$8</f>
        <v>2048</v>
      </c>
      <c r="C19" s="59" t="n">
        <f aca="false">모델!$D$34</f>
        <v>512</v>
      </c>
      <c r="D19" s="59" t="n">
        <f aca="false">IF(모델!$D$34&gt;0,모델!$D$7,0)</f>
        <v>40</v>
      </c>
      <c r="E19" s="2" t="s">
        <v>252</v>
      </c>
      <c r="F19" s="2" t="s">
        <v>69</v>
      </c>
      <c r="G19" s="60" t="n">
        <f aca="false">설정!$B$29</f>
        <v>4</v>
      </c>
      <c r="H19" s="61" t="n">
        <f aca="false">(설정!$B$29/8+IF(설정!$C$29=0,설정!$D$29/8/MAX(1,$B$19),설정!$D$29/8/설정!$C$29))</f>
        <v>0.515625</v>
      </c>
      <c r="I19" s="62" t="n">
        <f aca="false">설정!$B$65</f>
        <v>24000000000000</v>
      </c>
    </row>
    <row r="20" customFormat="false" ht="15" hidden="false" customHeight="false" outlineLevel="0" collapsed="false">
      <c r="A20" s="30" t="s">
        <v>267</v>
      </c>
      <c r="B20" s="59" t="n">
        <f aca="false">모델!$D$34</f>
        <v>512</v>
      </c>
      <c r="C20" s="59" t="n">
        <f aca="false">모델!$D$8</f>
        <v>2048</v>
      </c>
      <c r="D20" s="59" t="n">
        <f aca="false">IF(모델!$D$34&gt;0,모델!$D$7,0)</f>
        <v>40</v>
      </c>
      <c r="E20" s="2" t="s">
        <v>252</v>
      </c>
      <c r="F20" s="2" t="s">
        <v>69</v>
      </c>
      <c r="G20" s="60" t="n">
        <f aca="false">설정!$B$29</f>
        <v>4</v>
      </c>
      <c r="H20" s="61" t="n">
        <f aca="false">(설정!$B$29/8+IF(설정!$C$29=0,설정!$D$29/8/MAX(1,$B$20),설정!$D$29/8/설정!$C$29))</f>
        <v>0.515625</v>
      </c>
      <c r="I20" s="62" t="n">
        <f aca="false">설정!$B$65</f>
        <v>24000000000000</v>
      </c>
    </row>
    <row r="21" customFormat="false" ht="15" hidden="false" customHeight="false" outlineLevel="0" collapsed="false">
      <c r="A21" s="30" t="s">
        <v>268</v>
      </c>
      <c r="B21" s="59" t="n">
        <f aca="false">모델!$D$8</f>
        <v>2048</v>
      </c>
      <c r="C21" s="59" t="n">
        <f aca="false">모델!$D$38</f>
        <v>512</v>
      </c>
      <c r="D21" s="59" t="n">
        <f aca="false">IF(AND(모델!$D$36&gt;1,모델!$D$35&gt;=3),모델!$D$7,0)</f>
        <v>40</v>
      </c>
      <c r="E21" s="2" t="s">
        <v>269</v>
      </c>
      <c r="F21" s="2" t="s">
        <v>69</v>
      </c>
      <c r="G21" s="60" t="n">
        <f aca="false">설정!$B$29</f>
        <v>4</v>
      </c>
      <c r="H21" s="61" t="n">
        <f aca="false">(설정!$B$29/8+IF(설정!$C$29=0,설정!$D$29/8/MAX(1,$B$21),설정!$D$29/8/설정!$C$29))</f>
        <v>0.515625</v>
      </c>
      <c r="I21" s="62" t="n">
        <f aca="false">설정!$B$65</f>
        <v>24000000000000</v>
      </c>
    </row>
    <row r="22" customFormat="false" ht="15" hidden="false" customHeight="false" outlineLevel="0" collapsed="false">
      <c r="A22" s="30" t="s">
        <v>270</v>
      </c>
      <c r="B22" s="59" t="n">
        <f aca="false">모델!$D$8</f>
        <v>2048</v>
      </c>
      <c r="C22" s="59" t="n">
        <f aca="false">모델!$D$38</f>
        <v>512</v>
      </c>
      <c r="D22" s="59" t="n">
        <f aca="false">IF(모델!$D$36&gt;1,모델!$D$7,0)</f>
        <v>40</v>
      </c>
      <c r="E22" s="2" t="s">
        <v>269</v>
      </c>
      <c r="F22" s="2" t="s">
        <v>69</v>
      </c>
      <c r="G22" s="60" t="n">
        <f aca="false">설정!$B$29</f>
        <v>4</v>
      </c>
      <c r="H22" s="61" t="n">
        <f aca="false">(설정!$B$29/8+IF(설정!$C$29=0,설정!$D$29/8/MAX(1,$B$22),설정!$D$29/8/설정!$C$29))</f>
        <v>0.515625</v>
      </c>
      <c r="I22" s="62" t="n">
        <f aca="false">설정!$B$65</f>
        <v>24000000000000</v>
      </c>
    </row>
    <row r="23" customFormat="false" ht="15" hidden="false" customHeight="false" outlineLevel="0" collapsed="false">
      <c r="A23" s="30" t="s">
        <v>271</v>
      </c>
      <c r="B23" s="59" t="n">
        <f aca="false">모델!$D$38</f>
        <v>512</v>
      </c>
      <c r="C23" s="59" t="n">
        <f aca="false">모델!$D$8</f>
        <v>2048</v>
      </c>
      <c r="D23" s="59" t="n">
        <f aca="false">IF(모델!$D$36&gt;1,모델!$D$7,0)</f>
        <v>40</v>
      </c>
      <c r="E23" s="2" t="s">
        <v>269</v>
      </c>
      <c r="F23" s="2" t="s">
        <v>69</v>
      </c>
      <c r="G23" s="60" t="n">
        <f aca="false">설정!$B$29</f>
        <v>4</v>
      </c>
      <c r="H23" s="61" t="n">
        <f aca="false">(설정!$B$29/8+IF(설정!$C$29=0,설정!$D$29/8/MAX(1,$B$23),설정!$D$29/8/설정!$C$29))</f>
        <v>0.515625</v>
      </c>
      <c r="I23" s="62" t="n">
        <f aca="false">설정!$B$65</f>
        <v>24000000000000</v>
      </c>
    </row>
    <row r="24" customFormat="false" ht="15" hidden="false" customHeight="false" outlineLevel="0" collapsed="false">
      <c r="A24" s="30" t="s">
        <v>272</v>
      </c>
      <c r="B24" s="59" t="n">
        <f aca="false">모델!$D$8</f>
        <v>2048</v>
      </c>
      <c r="C24" s="59" t="n">
        <f aca="false">모델!$D$9</f>
        <v>248320</v>
      </c>
      <c r="D24" s="59" t="n">
        <f aca="false">1</f>
        <v>1</v>
      </c>
      <c r="E24" s="2" t="s">
        <v>273</v>
      </c>
      <c r="F24" s="2" t="s">
        <v>73</v>
      </c>
      <c r="G24" s="60" t="n">
        <f aca="false">설정!$B$31</f>
        <v>4</v>
      </c>
      <c r="H24" s="61" t="n">
        <f aca="false">(설정!$B$31/8+IF(설정!$C$31=0,설정!$D$31/8/MAX(1,$B$24),설정!$D$31/8/설정!$C$31))</f>
        <v>0.515625</v>
      </c>
      <c r="I24" s="62" t="n">
        <f aca="false">설정!$B$67</f>
        <v>24000000000000</v>
      </c>
    </row>
    <row r="25" customFormat="false" ht="17.15" hidden="false" customHeight="false" outlineLevel="0" collapsed="false">
      <c r="A25" s="22" t="s">
        <v>274</v>
      </c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7.15" hidden="false" customHeight="false" outlineLevel="0" collapsed="false">
      <c r="A27" s="28" t="s">
        <v>275</v>
      </c>
      <c r="B27" s="29"/>
      <c r="C27" s="29"/>
      <c r="D27" s="29"/>
      <c r="E27" s="29"/>
      <c r="F27" s="29"/>
      <c r="G27" s="29"/>
      <c r="H27" s="29"/>
      <c r="I27" s="29"/>
    </row>
    <row r="28" customFormat="false" ht="17.15" hidden="false" customHeight="false" outlineLevel="0" collapsed="false">
      <c r="A28" s="7" t="s">
        <v>276</v>
      </c>
      <c r="B28" s="63" t="n">
        <f aca="false">설정!$B$54</f>
        <v>128</v>
      </c>
      <c r="C28" s="63" t="n">
        <f aca="false">설정!$C$54</f>
        <v>256</v>
      </c>
      <c r="D28" s="63" t="n">
        <f aca="false">설정!$D$54</f>
        <v>512</v>
      </c>
      <c r="E28" s="63" t="n">
        <f aca="false">설정!$E$54</f>
        <v>1024</v>
      </c>
      <c r="F28" s="63" t="n">
        <f aca="false">설정!$F$54</f>
        <v>2048</v>
      </c>
      <c r="G28" s="63" t="n">
        <f aca="false">설정!$G$54</f>
        <v>4096</v>
      </c>
      <c r="H28" s="63" t="n">
        <f aca="false">설정!$H$54</f>
        <v>8192</v>
      </c>
      <c r="I28" s="2"/>
    </row>
    <row r="29" customFormat="false" ht="17.15" hidden="false" customHeight="false" outlineLevel="0" collapsed="false">
      <c r="A29" s="33" t="s">
        <v>277</v>
      </c>
      <c r="B29" s="64" t="n">
        <f aca="false">IF(모델!$D$36&gt;1,IF(AND(설정!$B$47="실측",ISNUMBER('Expert 실측'!$D$7)),MIN(모델!$D$36,MAX(1,'Expert 실측'!$D$7)),모델!$D$36*(1-EXP(MAX(-700,B28*LN(1-MIN(모델!$D$37/모델!$D$36,0.999999)))))),1)</f>
        <v>251.601145965871</v>
      </c>
      <c r="C29" s="64" t="n">
        <f aca="false">IF(모델!$D$36&gt;1,IF(AND(설정!$B$47="실측",ISNUMBER('Expert 실측'!$D$8)),MIN(모델!$D$36,MAX(1,'Expert 실측'!$D$8)),모델!$D$36*(1-EXP(MAX(-700,C28*LN(1-MIN(모델!$D$37/모델!$D$36,0.999999)))))),1)</f>
        <v>255.924414387447</v>
      </c>
      <c r="D29" s="64" t="n">
        <f aca="false">IF(모델!$D$36&gt;1,IF(AND(설정!$B$47="실측",ISNUMBER('Expert 실측'!$D$9)),MIN(모델!$D$36,MAX(1,'Expert 실측'!$D$9)),모델!$D$36*(1-EXP(MAX(-700,D28*LN(1-MIN(모델!$D$37/모델!$D$36,0.999999)))))),1)</f>
        <v>255.999977682872</v>
      </c>
      <c r="E29" s="64" t="n">
        <f aca="false">IF(모델!$D$36&gt;1,IF(AND(설정!$B$47="실측",ISNUMBER('Expert 실측'!$D$10)),MIN(모델!$D$36,MAX(1,'Expert 실측'!$D$10)),모델!$D$36*(1-EXP(MAX(-700,E28*LN(1-MIN(모델!$D$37/모델!$D$36,0.999999)))))),1)</f>
        <v>255.999999999998</v>
      </c>
      <c r="F29" s="64" t="n">
        <f aca="false">IF(모델!$D$36&gt;1,IF(AND(설정!$B$47="실측",ISNUMBER('Expert 실측'!$D$11)),MIN(모델!$D$36,MAX(1,'Expert 실측'!$D$11)),모델!$D$36*(1-EXP(MAX(-700,F28*LN(1-MIN(모델!$D$37/모델!$D$36,0.999999)))))),1)</f>
        <v>256</v>
      </c>
      <c r="G29" s="64" t="n">
        <f aca="false">IF(모델!$D$36&gt;1,IF(AND(설정!$B$47="실측",ISNUMBER('Expert 실측'!$D$12)),MIN(모델!$D$36,MAX(1,'Expert 실측'!$D$12)),모델!$D$36*(1-EXP(MAX(-700,G28*LN(1-MIN(모델!$D$37/모델!$D$36,0.999999)))))),1)</f>
        <v>256</v>
      </c>
      <c r="H29" s="64" t="n">
        <f aca="false">IF(모델!$D$36&gt;1,IF(AND(설정!$B$47="실측",ISNUMBER('Expert 실측'!$D$13)),MIN(모델!$D$36,MAX(1,'Expert 실측'!$D$13)),모델!$D$36*(1-EXP(MAX(-700,H28*LN(1-MIN(모델!$D$37/모델!$D$36,0.999999)))))),1)</f>
        <v>256</v>
      </c>
      <c r="I29" s="2"/>
    </row>
    <row r="30" customFormat="false" ht="17.15" hidden="false" customHeight="false" outlineLevel="0" collapsed="false">
      <c r="A30" s="30" t="s">
        <v>278</v>
      </c>
      <c r="B30" s="65" t="n">
        <f aca="false">IF(모델!$D$36&gt;1,B29/모델!$D$36,1)</f>
        <v>0.982816976429182</v>
      </c>
      <c r="C30" s="65" t="n">
        <f aca="false">IF(모델!$D$36&gt;1,C29/모델!$D$36,1)</f>
        <v>0.999704743700965</v>
      </c>
      <c r="D30" s="65" t="n">
        <f aca="false">IF(모델!$D$36&gt;1,D29/모델!$D$36,1)</f>
        <v>0.999999912823718</v>
      </c>
      <c r="E30" s="65" t="n">
        <f aca="false">IF(모델!$D$36&gt;1,E29/모델!$D$36,1)</f>
        <v>0.999999999999993</v>
      </c>
      <c r="F30" s="65" t="n">
        <f aca="false">IF(모델!$D$36&gt;1,F29/모델!$D$36,1)</f>
        <v>1</v>
      </c>
      <c r="G30" s="65" t="n">
        <f aca="false">IF(모델!$D$36&gt;1,G29/모델!$D$36,1)</f>
        <v>1</v>
      </c>
      <c r="H30" s="65" t="n">
        <f aca="false">IF(모델!$D$36&gt;1,H29/모델!$D$36,1)</f>
        <v>1</v>
      </c>
      <c r="I30" s="32" t="s">
        <v>279</v>
      </c>
    </row>
    <row r="31" customFormat="false" ht="17.15" hidden="false" customHeight="false" outlineLevel="0" collapsed="false">
      <c r="A31" s="30" t="s">
        <v>280</v>
      </c>
      <c r="B31" s="66" t="n">
        <f aca="false">IF(모델!$D$36&gt;1,B28*모델!$D$37/B29,B28)</f>
        <v>4.06993376786489</v>
      </c>
      <c r="C31" s="66" t="n">
        <f aca="false">IF(모델!$D$36&gt;1,C28*모델!$D$37/C29,C28)</f>
        <v>8.00236274800852</v>
      </c>
      <c r="D31" s="66" t="n">
        <f aca="false">IF(모델!$D$36&gt;1,D28*모델!$D$37/D29,D28)</f>
        <v>16.0000013948206</v>
      </c>
      <c r="E31" s="66" t="n">
        <f aca="false">IF(모델!$D$36&gt;1,E28*모델!$D$37/E29,E28)</f>
        <v>32.0000000000002</v>
      </c>
      <c r="F31" s="66" t="n">
        <f aca="false">IF(모델!$D$36&gt;1,F28*모델!$D$37/F29,F28)</f>
        <v>64</v>
      </c>
      <c r="G31" s="66" t="n">
        <f aca="false">IF(모델!$D$36&gt;1,G28*모델!$D$37/G29,G28)</f>
        <v>128</v>
      </c>
      <c r="H31" s="66" t="n">
        <f aca="false">IF(모델!$D$36&gt;1,H28*모델!$D$37/H29,H28)</f>
        <v>256</v>
      </c>
      <c r="I31" s="2"/>
    </row>
    <row r="32" customFormat="false" ht="17.15" hidden="false" customHeight="false" outlineLevel="0" collapsed="false">
      <c r="A32" s="30" t="s">
        <v>281</v>
      </c>
      <c r="B32" s="67" t="n">
        <f aca="false">($D$5)*2*(B$28)*$B$5*$C$5</f>
        <v>42949672960</v>
      </c>
      <c r="C32" s="67" t="n">
        <f aca="false">($D$5)*2*(C$28)*$B$5*$C$5</f>
        <v>85899345920</v>
      </c>
      <c r="D32" s="67" t="n">
        <f aca="false">($D$5)*2*(D$28)*$B$5*$C$5</f>
        <v>171798691840</v>
      </c>
      <c r="E32" s="67" t="n">
        <f aca="false">($D$5)*2*(E$28)*$B$5*$C$5</f>
        <v>343597383680</v>
      </c>
      <c r="F32" s="67" t="n">
        <f aca="false">($D$5)*2*(F$28)*$B$5*$C$5</f>
        <v>687194767360</v>
      </c>
      <c r="G32" s="67" t="n">
        <f aca="false">($D$5)*2*(G$28)*$B$5*$C$5</f>
        <v>1374389534720</v>
      </c>
      <c r="H32" s="67" t="n">
        <f aca="false">($D$5)*2*(H$28)*$B$5*$C$5</f>
        <v>2748779069440</v>
      </c>
      <c r="I32" s="2"/>
    </row>
    <row r="33" customFormat="false" ht="17.15" hidden="false" customHeight="false" outlineLevel="0" collapsed="false">
      <c r="A33" s="30" t="s">
        <v>282</v>
      </c>
      <c r="B33" s="67" t="n">
        <f aca="false">($D$5)*MIN(($B$5*$C$5*$H$5)*MAX(1,ROUNDUP(((B$28)*$B$5*설정!$B$57)/설정!$B$61,0))+((B$28)*$B$5*설정!$B$57)+((B$28)*$C$5*설정!$B$57),($B$5*$C$5*$H$5)+((B$28)*$B$5*설정!$B$57)*MAX(1,ROUNDUP(($B$5*$C$5*$H$5)/설정!$B$61,0))+((B$28)*$C$5*설정!$B$57))</f>
        <v>99614720</v>
      </c>
      <c r="C33" s="67" t="n">
        <f aca="false">($D$5)*MIN(($B$5*$C$5*$H$5)*MAX(1,ROUNDUP(((C$28)*$B$5*설정!$B$57)/설정!$B$61,0))+((C$28)*$B$5*설정!$B$57)+((C$28)*$C$5*설정!$B$57),($B$5*$C$5*$H$5)+((C$28)*$B$5*설정!$B$57)*MAX(1,ROUNDUP(($B$5*$C$5*$H$5)/설정!$B$61,0))+((C$28)*$C$5*설정!$B$57))</f>
        <v>112721920</v>
      </c>
      <c r="D33" s="67" t="n">
        <f aca="false">($D$5)*MIN(($B$5*$C$5*$H$5)*MAX(1,ROUNDUP(((D$28)*$B$5*설정!$B$57)/설정!$B$61,0))+((D$28)*$B$5*설정!$B$57)+((D$28)*$C$5*설정!$B$57),($B$5*$C$5*$H$5)+((D$28)*$B$5*설정!$B$57)*MAX(1,ROUNDUP(($B$5*$C$5*$H$5)/설정!$B$61,0))+((D$28)*$C$5*설정!$B$57))</f>
        <v>138936320</v>
      </c>
      <c r="E33" s="67" t="n">
        <f aca="false">($D$5)*MIN(($B$5*$C$5*$H$5)*MAX(1,ROUNDUP(((E$28)*$B$5*설정!$B$57)/설정!$B$61,0))+((E$28)*$B$5*설정!$B$57)+((E$28)*$C$5*설정!$B$57),($B$5*$C$5*$H$5)+((E$28)*$B$5*설정!$B$57)*MAX(1,ROUNDUP(($B$5*$C$5*$H$5)/설정!$B$61,0))+((E$28)*$C$5*설정!$B$57))</f>
        <v>277872640</v>
      </c>
      <c r="F33" s="67" t="n">
        <f aca="false">($D$5)*MIN(($B$5*$C$5*$H$5)*MAX(1,ROUNDUP(((F$28)*$B$5*설정!$B$57)/설정!$B$61,0))+((F$28)*$B$5*설정!$B$57)+((F$28)*$C$5*설정!$B$57),($B$5*$C$5*$H$5)+((F$28)*$B$5*설정!$B$57)*MAX(1,ROUNDUP(($B$5*$C$5*$H$5)/설정!$B$61,0))+((F$28)*$C$5*설정!$B$57))</f>
        <v>469237760</v>
      </c>
      <c r="G33" s="67" t="n">
        <f aca="false">($D$5)*MIN(($B$5*$C$5*$H$5)*MAX(1,ROUNDUP(((G$28)*$B$5*설정!$B$57)/설정!$B$61,0))+((G$28)*$B$5*설정!$B$57)+((G$28)*$C$5*설정!$B$57),($B$5*$C$5*$H$5)+((G$28)*$B$5*설정!$B$57)*MAX(1,ROUNDUP(($B$5*$C$5*$H$5)/설정!$B$61,0))+((G$28)*$C$5*설정!$B$57))</f>
        <v>851968000</v>
      </c>
      <c r="H33" s="67" t="n">
        <f aca="false">($D$5)*MIN(($B$5*$C$5*$H$5)*MAX(1,ROUNDUP(((H$28)*$B$5*설정!$B$57)/설정!$B$61,0))+((H$28)*$B$5*설정!$B$57)+((H$28)*$C$5*설정!$B$57),($B$5*$C$5*$H$5)+((H$28)*$B$5*설정!$B$57)*MAX(1,ROUNDUP(($B$5*$C$5*$H$5)/설정!$B$61,0))+((H$28)*$C$5*설정!$B$57))</f>
        <v>1703936000</v>
      </c>
      <c r="I33" s="2"/>
    </row>
    <row r="34" customFormat="false" ht="17.15" hidden="false" customHeight="false" outlineLevel="0" collapsed="false">
      <c r="A34" s="30" t="s">
        <v>283</v>
      </c>
      <c r="B34" s="68" t="n">
        <f aca="false">MAX(B32/$I$5,B33/설정!$B$60)*1000</f>
        <v>1.95322980392157</v>
      </c>
      <c r="C34" s="68" t="n">
        <f aca="false">MAX(C32/$I$5,C33/설정!$B$60)*1000</f>
        <v>3.57913941333333</v>
      </c>
      <c r="D34" s="68" t="n">
        <f aca="false">MAX(D32/$I$5,D33/설정!$B$60)*1000</f>
        <v>7.15827882666667</v>
      </c>
      <c r="E34" s="68" t="n">
        <f aca="false">MAX(E32/$I$5,E33/설정!$B$60)*1000</f>
        <v>14.3165576533333</v>
      </c>
      <c r="F34" s="68" t="n">
        <f aca="false">MAX(F32/$I$5,F33/설정!$B$60)*1000</f>
        <v>28.6331153066667</v>
      </c>
      <c r="G34" s="68" t="n">
        <f aca="false">MAX(G32/$I$5,G33/설정!$B$60)*1000</f>
        <v>57.2662306133333</v>
      </c>
      <c r="H34" s="68" t="n">
        <f aca="false">MAX(H32/$I$5,H33/설정!$B$60)*1000</f>
        <v>114.532461226667</v>
      </c>
      <c r="I34" s="2"/>
    </row>
    <row r="35" customFormat="false" ht="17.15" hidden="false" customHeight="false" outlineLevel="0" collapsed="false">
      <c r="A35" s="30" t="s">
        <v>284</v>
      </c>
      <c r="B35" s="67" t="n">
        <f aca="false">($D$6)*2*(B$28)*$B$6*$C$6</f>
        <v>2684354560</v>
      </c>
      <c r="C35" s="67" t="n">
        <f aca="false">($D$6)*2*(C$28)*$B$6*$C$6</f>
        <v>5368709120</v>
      </c>
      <c r="D35" s="67" t="n">
        <f aca="false">($D$6)*2*(D$28)*$B$6*$C$6</f>
        <v>10737418240</v>
      </c>
      <c r="E35" s="67" t="n">
        <f aca="false">($D$6)*2*(E$28)*$B$6*$C$6</f>
        <v>21474836480</v>
      </c>
      <c r="F35" s="67" t="n">
        <f aca="false">($D$6)*2*(F$28)*$B$6*$C$6</f>
        <v>42949672960</v>
      </c>
      <c r="G35" s="67" t="n">
        <f aca="false">($D$6)*2*(G$28)*$B$6*$C$6</f>
        <v>85899345920</v>
      </c>
      <c r="H35" s="67" t="n">
        <f aca="false">($D$6)*2*(H$28)*$B$6*$C$6</f>
        <v>171798691840</v>
      </c>
      <c r="I35" s="2"/>
    </row>
    <row r="36" customFormat="false" ht="17.15" hidden="false" customHeight="false" outlineLevel="0" collapsed="false">
      <c r="A36" s="30" t="s">
        <v>285</v>
      </c>
      <c r="B36" s="67" t="n">
        <f aca="false">($D$6)*MIN(($B$6*$C$6*$H$6)*MAX(1,ROUNDUP(((B$28)*$B$6*설정!$B$57)/설정!$B$61,0))+((B$28)*$B$6*설정!$B$57)+((B$28)*$C$6*설정!$B$57),($B$6*$C$6*$H$6)+((B$28)*$B$6*설정!$B$57)*MAX(1,ROUNDUP(($B$6*$C$6*$H$6)/설정!$B$61,0))+((B$28)*$C$6*설정!$B$57))</f>
        <v>8683520</v>
      </c>
      <c r="C36" s="67" t="n">
        <f aca="false">($D$6)*MIN(($B$6*$C$6*$H$6)*MAX(1,ROUNDUP(((C$28)*$B$6*설정!$B$57)/설정!$B$61,0))+((C$28)*$B$6*설정!$B$57)+((C$28)*$C$6*설정!$B$57),($B$6*$C$6*$H$6)+((C$28)*$B$6*설정!$B$57)*MAX(1,ROUNDUP(($B$6*$C$6*$H$6)/설정!$B$61,0))+((C$28)*$C$6*설정!$B$57))</f>
        <v>11960320</v>
      </c>
      <c r="D36" s="67" t="n">
        <f aca="false">($D$6)*MIN(($B$6*$C$6*$H$6)*MAX(1,ROUNDUP(((D$28)*$B$6*설정!$B$57)/설정!$B$61,0))+((D$28)*$B$6*설정!$B$57)+((D$28)*$C$6*설정!$B$57),($B$6*$C$6*$H$6)+((D$28)*$B$6*설정!$B$57)*MAX(1,ROUNDUP(($B$6*$C$6*$H$6)/설정!$B$61,0))+((D$28)*$C$6*설정!$B$57))</f>
        <v>18513920</v>
      </c>
      <c r="E36" s="67" t="n">
        <f aca="false">($D$6)*MIN(($B$6*$C$6*$H$6)*MAX(1,ROUNDUP(((E$28)*$B$6*설정!$B$57)/설정!$B$61,0))+((E$28)*$B$6*설정!$B$57)+((E$28)*$C$6*설정!$B$57),($B$6*$C$6*$H$6)+((E$28)*$B$6*설정!$B$57)*MAX(1,ROUNDUP(($B$6*$C$6*$H$6)/설정!$B$61,0))+((E$28)*$C$6*설정!$B$57))</f>
        <v>31621120</v>
      </c>
      <c r="F36" s="67" t="n">
        <f aca="false">($D$6)*MIN(($B$6*$C$6*$H$6)*MAX(1,ROUNDUP(((F$28)*$B$6*설정!$B$57)/설정!$B$61,0))+((F$28)*$B$6*설정!$B$57)+((F$28)*$C$6*설정!$B$57),($B$6*$C$6*$H$6)+((F$28)*$B$6*설정!$B$57)*MAX(1,ROUNDUP(($B$6*$C$6*$H$6)/설정!$B$61,0))+((F$28)*$C$6*설정!$B$57))</f>
        <v>57835520</v>
      </c>
      <c r="G36" s="67" t="n">
        <f aca="false">($D$6)*MIN(($B$6*$C$6*$H$6)*MAX(1,ROUNDUP(((G$28)*$B$6*설정!$B$57)/설정!$B$61,0))+((G$28)*$B$6*설정!$B$57)+((G$28)*$C$6*설정!$B$57),($B$6*$C$6*$H$6)+((G$28)*$B$6*설정!$B$57)*MAX(1,ROUNDUP(($B$6*$C$6*$H$6)/설정!$B$61,0))+((G$28)*$C$6*설정!$B$57))</f>
        <v>110264320</v>
      </c>
      <c r="H36" s="67" t="n">
        <f aca="false">($D$6)*MIN(($B$6*$C$6*$H$6)*MAX(1,ROUNDUP(((H$28)*$B$6*설정!$B$57)/설정!$B$61,0))+((H$28)*$B$6*설정!$B$57)+((H$28)*$C$6*설정!$B$57),($B$6*$C$6*$H$6)+((H$28)*$B$6*설정!$B$57)*MAX(1,ROUNDUP(($B$6*$C$6*$H$6)/설정!$B$61,0))+((H$28)*$C$6*설정!$B$57))</f>
        <v>215121920</v>
      </c>
      <c r="I36" s="2"/>
    </row>
    <row r="37" customFormat="false" ht="17.15" hidden="false" customHeight="false" outlineLevel="0" collapsed="false">
      <c r="A37" s="30" t="s">
        <v>286</v>
      </c>
      <c r="B37" s="68" t="n">
        <f aca="false">MAX(B35/$I$6,B36/설정!$B$60)*1000</f>
        <v>0.170265098039216</v>
      </c>
      <c r="C37" s="68" t="n">
        <f aca="false">MAX(C35/$I$6,C36/설정!$B$60)*1000</f>
        <v>0.234516078431373</v>
      </c>
      <c r="D37" s="68" t="n">
        <f aca="false">MAX(D35/$I$6,D36/설정!$B$60)*1000</f>
        <v>0.447392426666667</v>
      </c>
      <c r="E37" s="68" t="n">
        <f aca="false">MAX(E35/$I$6,E36/설정!$B$60)*1000</f>
        <v>0.894784853333333</v>
      </c>
      <c r="F37" s="68" t="n">
        <f aca="false">MAX(F35/$I$6,F36/설정!$B$60)*1000</f>
        <v>1.78956970666667</v>
      </c>
      <c r="G37" s="68" t="n">
        <f aca="false">MAX(G35/$I$6,G36/설정!$B$60)*1000</f>
        <v>3.57913941333333</v>
      </c>
      <c r="H37" s="68" t="n">
        <f aca="false">MAX(H35/$I$6,H36/설정!$B$60)*1000</f>
        <v>7.15827882666667</v>
      </c>
      <c r="I37" s="2"/>
    </row>
    <row r="38" customFormat="false" ht="17.15" hidden="false" customHeight="false" outlineLevel="0" collapsed="false">
      <c r="A38" s="30" t="s">
        <v>287</v>
      </c>
      <c r="B38" s="67" t="n">
        <f aca="false">($D$7)*2*(B$28)*$B$7*$C$7</f>
        <v>2684354560</v>
      </c>
      <c r="C38" s="67" t="n">
        <f aca="false">($D$7)*2*(C$28)*$B$7*$C$7</f>
        <v>5368709120</v>
      </c>
      <c r="D38" s="67" t="n">
        <f aca="false">($D$7)*2*(D$28)*$B$7*$C$7</f>
        <v>10737418240</v>
      </c>
      <c r="E38" s="67" t="n">
        <f aca="false">($D$7)*2*(E$28)*$B$7*$C$7</f>
        <v>21474836480</v>
      </c>
      <c r="F38" s="67" t="n">
        <f aca="false">($D$7)*2*(F$28)*$B$7*$C$7</f>
        <v>42949672960</v>
      </c>
      <c r="G38" s="67" t="n">
        <f aca="false">($D$7)*2*(G$28)*$B$7*$C$7</f>
        <v>85899345920</v>
      </c>
      <c r="H38" s="67" t="n">
        <f aca="false">($D$7)*2*(H$28)*$B$7*$C$7</f>
        <v>171798691840</v>
      </c>
      <c r="I38" s="2"/>
    </row>
    <row r="39" customFormat="false" ht="17.15" hidden="false" customHeight="false" outlineLevel="0" collapsed="false">
      <c r="A39" s="30" t="s">
        <v>288</v>
      </c>
      <c r="B39" s="67" t="n">
        <f aca="false">($D$7)*MIN(($B$7*$C$7*$H$7)*MAX(1,ROUNDUP(((B$28)*$B$7*설정!$B$57)/설정!$B$61,0))+((B$28)*$B$7*설정!$B$57)+((B$28)*$C$7*설정!$B$57),($B$7*$C$7*$H$7)+((B$28)*$B$7*설정!$B$57)*MAX(1,ROUNDUP(($B$7*$C$7*$H$7)/설정!$B$61,0))+((B$28)*$C$7*설정!$B$57))</f>
        <v>8683520</v>
      </c>
      <c r="C39" s="67" t="n">
        <f aca="false">($D$7)*MIN(($B$7*$C$7*$H$7)*MAX(1,ROUNDUP(((C$28)*$B$7*설정!$B$57)/설정!$B$61,0))+((C$28)*$B$7*설정!$B$57)+((C$28)*$C$7*설정!$B$57),($B$7*$C$7*$H$7)+((C$28)*$B$7*설정!$B$57)*MAX(1,ROUNDUP(($B$7*$C$7*$H$7)/설정!$B$61,0))+((C$28)*$C$7*설정!$B$57))</f>
        <v>11960320</v>
      </c>
      <c r="D39" s="67" t="n">
        <f aca="false">($D$7)*MIN(($B$7*$C$7*$H$7)*MAX(1,ROUNDUP(((D$28)*$B$7*설정!$B$57)/설정!$B$61,0))+((D$28)*$B$7*설정!$B$57)+((D$28)*$C$7*설정!$B$57),($B$7*$C$7*$H$7)+((D$28)*$B$7*설정!$B$57)*MAX(1,ROUNDUP(($B$7*$C$7*$H$7)/설정!$B$61,0))+((D$28)*$C$7*설정!$B$57))</f>
        <v>18513920</v>
      </c>
      <c r="E39" s="67" t="n">
        <f aca="false">($D$7)*MIN(($B$7*$C$7*$H$7)*MAX(1,ROUNDUP(((E$28)*$B$7*설정!$B$57)/설정!$B$61,0))+((E$28)*$B$7*설정!$B$57)+((E$28)*$C$7*설정!$B$57),($B$7*$C$7*$H$7)+((E$28)*$B$7*설정!$B$57)*MAX(1,ROUNDUP(($B$7*$C$7*$H$7)/설정!$B$61,0))+((E$28)*$C$7*설정!$B$57))</f>
        <v>31621120</v>
      </c>
      <c r="F39" s="67" t="n">
        <f aca="false">($D$7)*MIN(($B$7*$C$7*$H$7)*MAX(1,ROUNDUP(((F$28)*$B$7*설정!$B$57)/설정!$B$61,0))+((F$28)*$B$7*설정!$B$57)+((F$28)*$C$7*설정!$B$57),($B$7*$C$7*$H$7)+((F$28)*$B$7*설정!$B$57)*MAX(1,ROUNDUP(($B$7*$C$7*$H$7)/설정!$B$61,0))+((F$28)*$C$7*설정!$B$57))</f>
        <v>57835520</v>
      </c>
      <c r="G39" s="67" t="n">
        <f aca="false">($D$7)*MIN(($B$7*$C$7*$H$7)*MAX(1,ROUNDUP(((G$28)*$B$7*설정!$B$57)/설정!$B$61,0))+((G$28)*$B$7*설정!$B$57)+((G$28)*$C$7*설정!$B$57),($B$7*$C$7*$H$7)+((G$28)*$B$7*설정!$B$57)*MAX(1,ROUNDUP(($B$7*$C$7*$H$7)/설정!$B$61,0))+((G$28)*$C$7*설정!$B$57))</f>
        <v>110264320</v>
      </c>
      <c r="H39" s="67" t="n">
        <f aca="false">($D$7)*MIN(($B$7*$C$7*$H$7)*MAX(1,ROUNDUP(((H$28)*$B$7*설정!$B$57)/설정!$B$61,0))+((H$28)*$B$7*설정!$B$57)+((H$28)*$C$7*설정!$B$57),($B$7*$C$7*$H$7)+((H$28)*$B$7*설정!$B$57)*MAX(1,ROUNDUP(($B$7*$C$7*$H$7)/설정!$B$61,0))+((H$28)*$C$7*설정!$B$57))</f>
        <v>215121920</v>
      </c>
      <c r="I39" s="2"/>
    </row>
    <row r="40" customFormat="false" ht="17.15" hidden="false" customHeight="false" outlineLevel="0" collapsed="false">
      <c r="A40" s="30" t="s">
        <v>289</v>
      </c>
      <c r="B40" s="68" t="n">
        <f aca="false">MAX(B38/$I$7,B39/설정!$B$60)*1000</f>
        <v>0.170265098039216</v>
      </c>
      <c r="C40" s="68" t="n">
        <f aca="false">MAX(C38/$I$7,C39/설정!$B$60)*1000</f>
        <v>0.234516078431373</v>
      </c>
      <c r="D40" s="68" t="n">
        <f aca="false">MAX(D38/$I$7,D39/설정!$B$60)*1000</f>
        <v>0.447392426666667</v>
      </c>
      <c r="E40" s="68" t="n">
        <f aca="false">MAX(E38/$I$7,E39/설정!$B$60)*1000</f>
        <v>0.894784853333333</v>
      </c>
      <c r="F40" s="68" t="n">
        <f aca="false">MAX(F38/$I$7,F39/설정!$B$60)*1000</f>
        <v>1.78956970666667</v>
      </c>
      <c r="G40" s="68" t="n">
        <f aca="false">MAX(G38/$I$7,G39/설정!$B$60)*1000</f>
        <v>3.57913941333333</v>
      </c>
      <c r="H40" s="68" t="n">
        <f aca="false">MAX(H38/$I$7,H39/설정!$B$60)*1000</f>
        <v>7.15827882666667</v>
      </c>
      <c r="I40" s="2"/>
    </row>
    <row r="41" customFormat="false" ht="17.15" hidden="false" customHeight="false" outlineLevel="0" collapsed="false">
      <c r="A41" s="30" t="s">
        <v>290</v>
      </c>
      <c r="B41" s="67" t="n">
        <f aca="false">($D$8)*2*(B$28)*$B$8*$C$8</f>
        <v>21474836480</v>
      </c>
      <c r="C41" s="67" t="n">
        <f aca="false">($D$8)*2*(C$28)*$B$8*$C$8</f>
        <v>42949672960</v>
      </c>
      <c r="D41" s="67" t="n">
        <f aca="false">($D$8)*2*(D$28)*$B$8*$C$8</f>
        <v>85899345920</v>
      </c>
      <c r="E41" s="67" t="n">
        <f aca="false">($D$8)*2*(E$28)*$B$8*$C$8</f>
        <v>171798691840</v>
      </c>
      <c r="F41" s="67" t="n">
        <f aca="false">($D$8)*2*(F$28)*$B$8*$C$8</f>
        <v>343597383680</v>
      </c>
      <c r="G41" s="67" t="n">
        <f aca="false">($D$8)*2*(G$28)*$B$8*$C$8</f>
        <v>687194767360</v>
      </c>
      <c r="H41" s="67" t="n">
        <f aca="false">($D$8)*2*(H$28)*$B$8*$C$8</f>
        <v>1374389534720</v>
      </c>
      <c r="I41" s="2"/>
    </row>
    <row r="42" customFormat="false" ht="17.15" hidden="false" customHeight="false" outlineLevel="0" collapsed="false">
      <c r="A42" s="30" t="s">
        <v>291</v>
      </c>
      <c r="B42" s="67" t="n">
        <f aca="false">($D$8)*MIN(($B$8*$C$8*$H$8)*MAX(1,ROUNDUP(((B$28)*$B$8*설정!$B$57)/설정!$B$61,0))+((B$28)*$B$8*설정!$B$57)+((B$28)*$C$8*설정!$B$57),($B$8*$C$8*$H$8)+((B$28)*$B$8*설정!$B$57)*MAX(1,ROUNDUP(($B$8*$C$8*$H$8)/설정!$B$61,0))+((B$28)*$C$8*설정!$B$57))</f>
        <v>51118080</v>
      </c>
      <c r="C42" s="67" t="n">
        <f aca="false">($D$8)*MIN(($B$8*$C$8*$H$8)*MAX(1,ROUNDUP(((C$28)*$B$8*설정!$B$57)/설정!$B$61,0))+((C$28)*$B$8*설정!$B$57)+((C$28)*$C$8*설정!$B$57),($B$8*$C$8*$H$8)+((C$28)*$B$8*설정!$B$57)*MAX(1,ROUNDUP(($B$8*$C$8*$H$8)/설정!$B$61,0))+((C$28)*$C$8*설정!$B$57))</f>
        <v>58982400</v>
      </c>
      <c r="D42" s="67" t="n">
        <f aca="false">($D$8)*MIN(($B$8*$C$8*$H$8)*MAX(1,ROUNDUP(((D$28)*$B$8*설정!$B$57)/설정!$B$61,0))+((D$28)*$B$8*설정!$B$57)+((D$28)*$C$8*설정!$B$57),($B$8*$C$8*$H$8)+((D$28)*$B$8*설정!$B$57)*MAX(1,ROUNDUP(($B$8*$C$8*$H$8)/설정!$B$61,0))+((D$28)*$C$8*설정!$B$57))</f>
        <v>116654080</v>
      </c>
      <c r="E42" s="67" t="n">
        <f aca="false">($D$8)*MIN(($B$8*$C$8*$H$8)*MAX(1,ROUNDUP(((E$28)*$B$8*설정!$B$57)/설정!$B$61,0))+((E$28)*$B$8*설정!$B$57)+((E$28)*$C$8*설정!$B$57),($B$8*$C$8*$H$8)+((E$28)*$B$8*설정!$B$57)*MAX(1,ROUNDUP(($B$8*$C$8*$H$8)/설정!$B$61,0))+((E$28)*$C$8*설정!$B$57))</f>
        <v>190054400</v>
      </c>
      <c r="F42" s="67" t="n">
        <f aca="false">($D$8)*MIN(($B$8*$C$8*$H$8)*MAX(1,ROUNDUP(((F$28)*$B$8*설정!$B$57)/설정!$B$61,0))+((F$28)*$B$8*설정!$B$57)+((F$28)*$C$8*설정!$B$57),($B$8*$C$8*$H$8)+((F$28)*$B$8*설정!$B$57)*MAX(1,ROUNDUP(($B$8*$C$8*$H$8)/설정!$B$61,0))+((F$28)*$C$8*설정!$B$57))</f>
        <v>336855040</v>
      </c>
      <c r="G42" s="67" t="n">
        <f aca="false">($D$8)*MIN(($B$8*$C$8*$H$8)*MAX(1,ROUNDUP(((G$28)*$B$8*설정!$B$57)/설정!$B$61,0))+((G$28)*$B$8*설정!$B$57)+((G$28)*$C$8*설정!$B$57),($B$8*$C$8*$H$8)+((G$28)*$B$8*설정!$B$57)*MAX(1,ROUNDUP(($B$8*$C$8*$H$8)/설정!$B$61,0))+((G$28)*$C$8*설정!$B$57))</f>
        <v>630456320</v>
      </c>
      <c r="H42" s="67" t="n">
        <f aca="false">($D$8)*MIN(($B$8*$C$8*$H$8)*MAX(1,ROUNDUP(((H$28)*$B$8*설정!$B$57)/설정!$B$61,0))+((H$28)*$B$8*설정!$B$57)+((H$28)*$C$8*설정!$B$57),($B$8*$C$8*$H$8)+((H$28)*$B$8*설정!$B$57)*MAX(1,ROUNDUP(($B$8*$C$8*$H$8)/설정!$B$61,0))+((H$28)*$C$8*설정!$B$57))</f>
        <v>1217658880</v>
      </c>
      <c r="I42" s="2"/>
    </row>
    <row r="43" customFormat="false" ht="17.15" hidden="false" customHeight="false" outlineLevel="0" collapsed="false">
      <c r="A43" s="30" t="s">
        <v>292</v>
      </c>
      <c r="B43" s="68" t="n">
        <f aca="false">MAX(B41/$I$8,B42/설정!$B$60)*1000</f>
        <v>1.00231529411765</v>
      </c>
      <c r="C43" s="68" t="n">
        <f aca="false">MAX(C41/$I$8,C42/설정!$B$60)*1000</f>
        <v>1.78956970666667</v>
      </c>
      <c r="D43" s="68" t="n">
        <f aca="false">MAX(D41/$I$8,D42/설정!$B$60)*1000</f>
        <v>3.57913941333333</v>
      </c>
      <c r="E43" s="68" t="n">
        <f aca="false">MAX(E41/$I$8,E42/설정!$B$60)*1000</f>
        <v>7.15827882666667</v>
      </c>
      <c r="F43" s="68" t="n">
        <f aca="false">MAX(F41/$I$8,F42/설정!$B$60)*1000</f>
        <v>14.3165576533333</v>
      </c>
      <c r="G43" s="68" t="n">
        <f aca="false">MAX(G41/$I$8,G42/설정!$B$60)*1000</f>
        <v>28.6331153066667</v>
      </c>
      <c r="H43" s="68" t="n">
        <f aca="false">MAX(H41/$I$8,H42/설정!$B$60)*1000</f>
        <v>57.2662306133333</v>
      </c>
      <c r="I43" s="2"/>
    </row>
    <row r="44" customFormat="false" ht="17.15" hidden="false" customHeight="false" outlineLevel="0" collapsed="false">
      <c r="A44" s="30" t="s">
        <v>293</v>
      </c>
      <c r="B44" s="67" t="n">
        <f aca="false">($D$9)*2*(B$28)*$B$9*$C$9</f>
        <v>0</v>
      </c>
      <c r="C44" s="67" t="n">
        <f aca="false">($D$9)*2*(C$28)*$B$9*$C$9</f>
        <v>0</v>
      </c>
      <c r="D44" s="67" t="n">
        <f aca="false">($D$9)*2*(D$28)*$B$9*$C$9</f>
        <v>0</v>
      </c>
      <c r="E44" s="67" t="n">
        <f aca="false">($D$9)*2*(E$28)*$B$9*$C$9</f>
        <v>0</v>
      </c>
      <c r="F44" s="67" t="n">
        <f aca="false">($D$9)*2*(F$28)*$B$9*$C$9</f>
        <v>0</v>
      </c>
      <c r="G44" s="67" t="n">
        <f aca="false">($D$9)*2*(G$28)*$B$9*$C$9</f>
        <v>0</v>
      </c>
      <c r="H44" s="67" t="n">
        <f aca="false">($D$9)*2*(H$28)*$B$9*$C$9</f>
        <v>0</v>
      </c>
      <c r="I44" s="2"/>
    </row>
    <row r="45" customFormat="false" ht="17.15" hidden="false" customHeight="false" outlineLevel="0" collapsed="false">
      <c r="A45" s="30" t="s">
        <v>294</v>
      </c>
      <c r="B45" s="67" t="n">
        <f aca="false">($D$9)*MIN(($B$9*$C$9*$H$9)*MAX(1,ROUNDUP(((B$28)*$B$9*설정!$B$57)/설정!$B$61,0))+((B$28)*$B$9*설정!$B$57)+((B$28)*$C$9*설정!$B$57),($B$9*$C$9*$H$9)+((B$28)*$B$9*설정!$B$57)*MAX(1,ROUNDUP(($B$9*$C$9*$H$9)/설정!$B$61,0))+((B$28)*$C$9*설정!$B$57))</f>
        <v>0</v>
      </c>
      <c r="C45" s="67" t="n">
        <f aca="false">($D$9)*MIN(($B$9*$C$9*$H$9)*MAX(1,ROUNDUP(((C$28)*$B$9*설정!$B$57)/설정!$B$61,0))+((C$28)*$B$9*설정!$B$57)+((C$28)*$C$9*설정!$B$57),($B$9*$C$9*$H$9)+((C$28)*$B$9*설정!$B$57)*MAX(1,ROUNDUP(($B$9*$C$9*$H$9)/설정!$B$61,0))+((C$28)*$C$9*설정!$B$57))</f>
        <v>0</v>
      </c>
      <c r="D45" s="67" t="n">
        <f aca="false">($D$9)*MIN(($B$9*$C$9*$H$9)*MAX(1,ROUNDUP(((D$28)*$B$9*설정!$B$57)/설정!$B$61,0))+((D$28)*$B$9*설정!$B$57)+((D$28)*$C$9*설정!$B$57),($B$9*$C$9*$H$9)+((D$28)*$B$9*설정!$B$57)*MAX(1,ROUNDUP(($B$9*$C$9*$H$9)/설정!$B$61,0))+((D$28)*$C$9*설정!$B$57))</f>
        <v>0</v>
      </c>
      <c r="E45" s="67" t="n">
        <f aca="false">($D$9)*MIN(($B$9*$C$9*$H$9)*MAX(1,ROUNDUP(((E$28)*$B$9*설정!$B$57)/설정!$B$61,0))+((E$28)*$B$9*설정!$B$57)+((E$28)*$C$9*설정!$B$57),($B$9*$C$9*$H$9)+((E$28)*$B$9*설정!$B$57)*MAX(1,ROUNDUP(($B$9*$C$9*$H$9)/설정!$B$61,0))+((E$28)*$C$9*설정!$B$57))</f>
        <v>0</v>
      </c>
      <c r="F45" s="67" t="n">
        <f aca="false">($D$9)*MIN(($B$9*$C$9*$H$9)*MAX(1,ROUNDUP(((F$28)*$B$9*설정!$B$57)/설정!$B$61,0))+((F$28)*$B$9*설정!$B$57)+((F$28)*$C$9*설정!$B$57),($B$9*$C$9*$H$9)+((F$28)*$B$9*설정!$B$57)*MAX(1,ROUNDUP(($B$9*$C$9*$H$9)/설정!$B$61,0))+((F$28)*$C$9*설정!$B$57))</f>
        <v>0</v>
      </c>
      <c r="G45" s="67" t="n">
        <f aca="false">($D$9)*MIN(($B$9*$C$9*$H$9)*MAX(1,ROUNDUP(((G$28)*$B$9*설정!$B$57)/설정!$B$61,0))+((G$28)*$B$9*설정!$B$57)+((G$28)*$C$9*설정!$B$57),($B$9*$C$9*$H$9)+((G$28)*$B$9*설정!$B$57)*MAX(1,ROUNDUP(($B$9*$C$9*$H$9)/설정!$B$61,0))+((G$28)*$C$9*설정!$B$57))</f>
        <v>0</v>
      </c>
      <c r="H45" s="67" t="n">
        <f aca="false">($D$9)*MIN(($B$9*$C$9*$H$9)*MAX(1,ROUNDUP(((H$28)*$B$9*설정!$B$57)/설정!$B$61,0))+((H$28)*$B$9*설정!$B$57)+((H$28)*$C$9*설정!$B$57),($B$9*$C$9*$H$9)+((H$28)*$B$9*설정!$B$57)*MAX(1,ROUNDUP(($B$9*$C$9*$H$9)/설정!$B$61,0))+((H$28)*$C$9*설정!$B$57))</f>
        <v>0</v>
      </c>
      <c r="I45" s="2"/>
    </row>
    <row r="46" customFormat="false" ht="17.15" hidden="false" customHeight="false" outlineLevel="0" collapsed="false">
      <c r="A46" s="30" t="s">
        <v>295</v>
      </c>
      <c r="B46" s="68" t="n">
        <f aca="false">MAX(B44/$I$9,B45/설정!$B$60)*1000</f>
        <v>0</v>
      </c>
      <c r="C46" s="68" t="n">
        <f aca="false">MAX(C44/$I$9,C45/설정!$B$60)*1000</f>
        <v>0</v>
      </c>
      <c r="D46" s="68" t="n">
        <f aca="false">MAX(D44/$I$9,D45/설정!$B$60)*1000</f>
        <v>0</v>
      </c>
      <c r="E46" s="68" t="n">
        <f aca="false">MAX(E44/$I$9,E45/설정!$B$60)*1000</f>
        <v>0</v>
      </c>
      <c r="F46" s="68" t="n">
        <f aca="false">MAX(F44/$I$9,F45/설정!$B$60)*1000</f>
        <v>0</v>
      </c>
      <c r="G46" s="68" t="n">
        <f aca="false">MAX(G44/$I$9,G45/설정!$B$60)*1000</f>
        <v>0</v>
      </c>
      <c r="H46" s="68" t="n">
        <f aca="false">MAX(H44/$I$9,H45/설정!$B$60)*1000</f>
        <v>0</v>
      </c>
      <c r="I46" s="2"/>
    </row>
    <row r="47" customFormat="false" ht="17.15" hidden="false" customHeight="false" outlineLevel="0" collapsed="false">
      <c r="A47" s="30" t="s">
        <v>296</v>
      </c>
      <c r="B47" s="67" t="n">
        <f aca="false">($D$10)*2*(B$28)*$B$10*$C$10</f>
        <v>0</v>
      </c>
      <c r="C47" s="67" t="n">
        <f aca="false">($D$10)*2*(C$28)*$B$10*$C$10</f>
        <v>0</v>
      </c>
      <c r="D47" s="67" t="n">
        <f aca="false">($D$10)*2*(D$28)*$B$10*$C$10</f>
        <v>0</v>
      </c>
      <c r="E47" s="67" t="n">
        <f aca="false">($D$10)*2*(E$28)*$B$10*$C$10</f>
        <v>0</v>
      </c>
      <c r="F47" s="67" t="n">
        <f aca="false">($D$10)*2*(F$28)*$B$10*$C$10</f>
        <v>0</v>
      </c>
      <c r="G47" s="67" t="n">
        <f aca="false">($D$10)*2*(G$28)*$B$10*$C$10</f>
        <v>0</v>
      </c>
      <c r="H47" s="67" t="n">
        <f aca="false">($D$10)*2*(H$28)*$B$10*$C$10</f>
        <v>0</v>
      </c>
      <c r="I47" s="2"/>
    </row>
    <row r="48" customFormat="false" ht="17.15" hidden="false" customHeight="false" outlineLevel="0" collapsed="false">
      <c r="A48" s="30" t="s">
        <v>297</v>
      </c>
      <c r="B48" s="67" t="n">
        <f aca="false">($D$10)*MIN(($B$10*$C$10*$H$10)*MAX(1,ROUNDUP(((B$28)*$B$10*설정!$B$57)/설정!$B$61,0))+((B$28)*$B$10*설정!$B$57)+((B$28)*$C$10*설정!$B$57),($B$10*$C$10*$H$10)+((B$28)*$B$10*설정!$B$57)*MAX(1,ROUNDUP(($B$10*$C$10*$H$10)/설정!$B$61,0))+((B$28)*$C$10*설정!$B$57))</f>
        <v>0</v>
      </c>
      <c r="C48" s="67" t="n">
        <f aca="false">($D$10)*MIN(($B$10*$C$10*$H$10)*MAX(1,ROUNDUP(((C$28)*$B$10*설정!$B$57)/설정!$B$61,0))+((C$28)*$B$10*설정!$B$57)+((C$28)*$C$10*설정!$B$57),($B$10*$C$10*$H$10)+((C$28)*$B$10*설정!$B$57)*MAX(1,ROUNDUP(($B$10*$C$10*$H$10)/설정!$B$61,0))+((C$28)*$C$10*설정!$B$57))</f>
        <v>0</v>
      </c>
      <c r="D48" s="67" t="n">
        <f aca="false">($D$10)*MIN(($B$10*$C$10*$H$10)*MAX(1,ROUNDUP(((D$28)*$B$10*설정!$B$57)/설정!$B$61,0))+((D$28)*$B$10*설정!$B$57)+((D$28)*$C$10*설정!$B$57),($B$10*$C$10*$H$10)+((D$28)*$B$10*설정!$B$57)*MAX(1,ROUNDUP(($B$10*$C$10*$H$10)/설정!$B$61,0))+((D$28)*$C$10*설정!$B$57))</f>
        <v>0</v>
      </c>
      <c r="E48" s="67" t="n">
        <f aca="false">($D$10)*MIN(($B$10*$C$10*$H$10)*MAX(1,ROUNDUP(((E$28)*$B$10*설정!$B$57)/설정!$B$61,0))+((E$28)*$B$10*설정!$B$57)+((E$28)*$C$10*설정!$B$57),($B$10*$C$10*$H$10)+((E$28)*$B$10*설정!$B$57)*MAX(1,ROUNDUP(($B$10*$C$10*$H$10)/설정!$B$61,0))+((E$28)*$C$10*설정!$B$57))</f>
        <v>0</v>
      </c>
      <c r="F48" s="67" t="n">
        <f aca="false">($D$10)*MIN(($B$10*$C$10*$H$10)*MAX(1,ROUNDUP(((F$28)*$B$10*설정!$B$57)/설정!$B$61,0))+((F$28)*$B$10*설정!$B$57)+((F$28)*$C$10*설정!$B$57),($B$10*$C$10*$H$10)+((F$28)*$B$10*설정!$B$57)*MAX(1,ROUNDUP(($B$10*$C$10*$H$10)/설정!$B$61,0))+((F$28)*$C$10*설정!$B$57))</f>
        <v>0</v>
      </c>
      <c r="G48" s="67" t="n">
        <f aca="false">($D$10)*MIN(($B$10*$C$10*$H$10)*MAX(1,ROUNDUP(((G$28)*$B$10*설정!$B$57)/설정!$B$61,0))+((G$28)*$B$10*설정!$B$57)+((G$28)*$C$10*설정!$B$57),($B$10*$C$10*$H$10)+((G$28)*$B$10*설정!$B$57)*MAX(1,ROUNDUP(($B$10*$C$10*$H$10)/설정!$B$61,0))+((G$28)*$C$10*설정!$B$57))</f>
        <v>0</v>
      </c>
      <c r="H48" s="67" t="n">
        <f aca="false">($D$10)*MIN(($B$10*$C$10*$H$10)*MAX(1,ROUNDUP(((H$28)*$B$10*설정!$B$57)/설정!$B$61,0))+((H$28)*$B$10*설정!$B$57)+((H$28)*$C$10*설정!$B$57),($B$10*$C$10*$H$10)+((H$28)*$B$10*설정!$B$57)*MAX(1,ROUNDUP(($B$10*$C$10*$H$10)/설정!$B$61,0))+((H$28)*$C$10*설정!$B$57))</f>
        <v>0</v>
      </c>
      <c r="I48" s="2"/>
    </row>
    <row r="49" customFormat="false" ht="17.15" hidden="false" customHeight="false" outlineLevel="0" collapsed="false">
      <c r="A49" s="30" t="s">
        <v>298</v>
      </c>
      <c r="B49" s="68" t="n">
        <f aca="false">MAX(B47/$I$10,B48/설정!$B$60)*1000</f>
        <v>0</v>
      </c>
      <c r="C49" s="68" t="n">
        <f aca="false">MAX(C47/$I$10,C48/설정!$B$60)*1000</f>
        <v>0</v>
      </c>
      <c r="D49" s="68" t="n">
        <f aca="false">MAX(D47/$I$10,D48/설정!$B$60)*1000</f>
        <v>0</v>
      </c>
      <c r="E49" s="68" t="n">
        <f aca="false">MAX(E47/$I$10,E48/설정!$B$60)*1000</f>
        <v>0</v>
      </c>
      <c r="F49" s="68" t="n">
        <f aca="false">MAX(F47/$I$10,F48/설정!$B$60)*1000</f>
        <v>0</v>
      </c>
      <c r="G49" s="68" t="n">
        <f aca="false">MAX(G47/$I$10,G48/설정!$B$60)*1000</f>
        <v>0</v>
      </c>
      <c r="H49" s="68" t="n">
        <f aca="false">MAX(H47/$I$10,H48/설정!$B$60)*1000</f>
        <v>0</v>
      </c>
      <c r="I49" s="2"/>
    </row>
    <row r="50" customFormat="false" ht="17.15" hidden="false" customHeight="false" outlineLevel="0" collapsed="false">
      <c r="A50" s="30" t="s">
        <v>299</v>
      </c>
      <c r="B50" s="67" t="n">
        <f aca="false">($D$11)*2*(B$28)*$B$11*$C$11</f>
        <v>0</v>
      </c>
      <c r="C50" s="67" t="n">
        <f aca="false">($D$11)*2*(C$28)*$B$11*$C$11</f>
        <v>0</v>
      </c>
      <c r="D50" s="67" t="n">
        <f aca="false">($D$11)*2*(D$28)*$B$11*$C$11</f>
        <v>0</v>
      </c>
      <c r="E50" s="67" t="n">
        <f aca="false">($D$11)*2*(E$28)*$B$11*$C$11</f>
        <v>0</v>
      </c>
      <c r="F50" s="67" t="n">
        <f aca="false">($D$11)*2*(F$28)*$B$11*$C$11</f>
        <v>0</v>
      </c>
      <c r="G50" s="67" t="n">
        <f aca="false">($D$11)*2*(G$28)*$B$11*$C$11</f>
        <v>0</v>
      </c>
      <c r="H50" s="67" t="n">
        <f aca="false">($D$11)*2*(H$28)*$B$11*$C$11</f>
        <v>0</v>
      </c>
      <c r="I50" s="2"/>
    </row>
    <row r="51" customFormat="false" ht="17.15" hidden="false" customHeight="false" outlineLevel="0" collapsed="false">
      <c r="A51" s="30" t="s">
        <v>300</v>
      </c>
      <c r="B51" s="67" t="n">
        <f aca="false">($D$11)*MIN(($B$11*$C$11*$H$11)*MAX(1,ROUNDUP(((B$28)*$B$11*설정!$B$57)/설정!$B$61,0))+((B$28)*$B$11*설정!$B$57)+((B$28)*$C$11*설정!$B$57),($B$11*$C$11*$H$11)+((B$28)*$B$11*설정!$B$57)*MAX(1,ROUNDUP(($B$11*$C$11*$H$11)/설정!$B$61,0))+((B$28)*$C$11*설정!$B$57))</f>
        <v>0</v>
      </c>
      <c r="C51" s="67" t="n">
        <f aca="false">($D$11)*MIN(($B$11*$C$11*$H$11)*MAX(1,ROUNDUP(((C$28)*$B$11*설정!$B$57)/설정!$B$61,0))+((C$28)*$B$11*설정!$B$57)+((C$28)*$C$11*설정!$B$57),($B$11*$C$11*$H$11)+((C$28)*$B$11*설정!$B$57)*MAX(1,ROUNDUP(($B$11*$C$11*$H$11)/설정!$B$61,0))+((C$28)*$C$11*설정!$B$57))</f>
        <v>0</v>
      </c>
      <c r="D51" s="67" t="n">
        <f aca="false">($D$11)*MIN(($B$11*$C$11*$H$11)*MAX(1,ROUNDUP(((D$28)*$B$11*설정!$B$57)/설정!$B$61,0))+((D$28)*$B$11*설정!$B$57)+((D$28)*$C$11*설정!$B$57),($B$11*$C$11*$H$11)+((D$28)*$B$11*설정!$B$57)*MAX(1,ROUNDUP(($B$11*$C$11*$H$11)/설정!$B$61,0))+((D$28)*$C$11*설정!$B$57))</f>
        <v>0</v>
      </c>
      <c r="E51" s="67" t="n">
        <f aca="false">($D$11)*MIN(($B$11*$C$11*$H$11)*MAX(1,ROUNDUP(((E$28)*$B$11*설정!$B$57)/설정!$B$61,0))+((E$28)*$B$11*설정!$B$57)+((E$28)*$C$11*설정!$B$57),($B$11*$C$11*$H$11)+((E$28)*$B$11*설정!$B$57)*MAX(1,ROUNDUP(($B$11*$C$11*$H$11)/설정!$B$61,0))+((E$28)*$C$11*설정!$B$57))</f>
        <v>0</v>
      </c>
      <c r="F51" s="67" t="n">
        <f aca="false">($D$11)*MIN(($B$11*$C$11*$H$11)*MAX(1,ROUNDUP(((F$28)*$B$11*설정!$B$57)/설정!$B$61,0))+((F$28)*$B$11*설정!$B$57)+((F$28)*$C$11*설정!$B$57),($B$11*$C$11*$H$11)+((F$28)*$B$11*설정!$B$57)*MAX(1,ROUNDUP(($B$11*$C$11*$H$11)/설정!$B$61,0))+((F$28)*$C$11*설정!$B$57))</f>
        <v>0</v>
      </c>
      <c r="G51" s="67" t="n">
        <f aca="false">($D$11)*MIN(($B$11*$C$11*$H$11)*MAX(1,ROUNDUP(((G$28)*$B$11*설정!$B$57)/설정!$B$61,0))+((G$28)*$B$11*설정!$B$57)+((G$28)*$C$11*설정!$B$57),($B$11*$C$11*$H$11)+((G$28)*$B$11*설정!$B$57)*MAX(1,ROUNDUP(($B$11*$C$11*$H$11)/설정!$B$61,0))+((G$28)*$C$11*설정!$B$57))</f>
        <v>0</v>
      </c>
      <c r="H51" s="67" t="n">
        <f aca="false">($D$11)*MIN(($B$11*$C$11*$H$11)*MAX(1,ROUNDUP(((H$28)*$B$11*설정!$B$57)/설정!$B$61,0))+((H$28)*$B$11*설정!$B$57)+((H$28)*$C$11*설정!$B$57),($B$11*$C$11*$H$11)+((H$28)*$B$11*설정!$B$57)*MAX(1,ROUNDUP(($B$11*$C$11*$H$11)/설정!$B$61,0))+((H$28)*$C$11*설정!$B$57))</f>
        <v>0</v>
      </c>
      <c r="I51" s="2"/>
    </row>
    <row r="52" customFormat="false" ht="17.15" hidden="false" customHeight="false" outlineLevel="0" collapsed="false">
      <c r="A52" s="30" t="s">
        <v>301</v>
      </c>
      <c r="B52" s="68" t="n">
        <f aca="false">MAX(B50/$I$11,B51/설정!$B$60)*1000</f>
        <v>0</v>
      </c>
      <c r="C52" s="68" t="n">
        <f aca="false">MAX(C50/$I$11,C51/설정!$B$60)*1000</f>
        <v>0</v>
      </c>
      <c r="D52" s="68" t="n">
        <f aca="false">MAX(D50/$I$11,D51/설정!$B$60)*1000</f>
        <v>0</v>
      </c>
      <c r="E52" s="68" t="n">
        <f aca="false">MAX(E50/$I$11,E51/설정!$B$60)*1000</f>
        <v>0</v>
      </c>
      <c r="F52" s="68" t="n">
        <f aca="false">MAX(F50/$I$11,F51/설정!$B$60)*1000</f>
        <v>0</v>
      </c>
      <c r="G52" s="68" t="n">
        <f aca="false">MAX(G50/$I$11,G51/설정!$B$60)*1000</f>
        <v>0</v>
      </c>
      <c r="H52" s="68" t="n">
        <f aca="false">MAX(H50/$I$11,H51/설정!$B$60)*1000</f>
        <v>0</v>
      </c>
      <c r="I52" s="2"/>
    </row>
    <row r="53" customFormat="false" ht="17.15" hidden="false" customHeight="false" outlineLevel="0" collapsed="false">
      <c r="A53" s="30" t="s">
        <v>302</v>
      </c>
      <c r="B53" s="67" t="n">
        <f aca="false">($D$12)*2*(B$28)*$B$12*$C$12</f>
        <v>0</v>
      </c>
      <c r="C53" s="67" t="n">
        <f aca="false">($D$12)*2*(C$28)*$B$12*$C$12</f>
        <v>0</v>
      </c>
      <c r="D53" s="67" t="n">
        <f aca="false">($D$12)*2*(D$28)*$B$12*$C$12</f>
        <v>0</v>
      </c>
      <c r="E53" s="67" t="n">
        <f aca="false">($D$12)*2*(E$28)*$B$12*$C$12</f>
        <v>0</v>
      </c>
      <c r="F53" s="67" t="n">
        <f aca="false">($D$12)*2*(F$28)*$B$12*$C$12</f>
        <v>0</v>
      </c>
      <c r="G53" s="67" t="n">
        <f aca="false">($D$12)*2*(G$28)*$B$12*$C$12</f>
        <v>0</v>
      </c>
      <c r="H53" s="67" t="n">
        <f aca="false">($D$12)*2*(H$28)*$B$12*$C$12</f>
        <v>0</v>
      </c>
      <c r="I53" s="2"/>
    </row>
    <row r="54" customFormat="false" ht="17.15" hidden="false" customHeight="false" outlineLevel="0" collapsed="false">
      <c r="A54" s="30" t="s">
        <v>303</v>
      </c>
      <c r="B54" s="67" t="n">
        <f aca="false">($D$12)*MIN(($B$12*$C$12*$H$12)*MAX(1,ROUNDUP(((B$28)*$B$12*설정!$B$57)/설정!$B$61,0))+((B$28)*$B$12*설정!$B$57)+((B$28)*$C$12*설정!$B$57),($B$12*$C$12*$H$12)+((B$28)*$B$12*설정!$B$57)*MAX(1,ROUNDUP(($B$12*$C$12*$H$12)/설정!$B$61,0))+((B$28)*$C$12*설정!$B$57))</f>
        <v>0</v>
      </c>
      <c r="C54" s="67" t="n">
        <f aca="false">($D$12)*MIN(($B$12*$C$12*$H$12)*MAX(1,ROUNDUP(((C$28)*$B$12*설정!$B$57)/설정!$B$61,0))+((C$28)*$B$12*설정!$B$57)+((C$28)*$C$12*설정!$B$57),($B$12*$C$12*$H$12)+((C$28)*$B$12*설정!$B$57)*MAX(1,ROUNDUP(($B$12*$C$12*$H$12)/설정!$B$61,0))+((C$28)*$C$12*설정!$B$57))</f>
        <v>0</v>
      </c>
      <c r="D54" s="67" t="n">
        <f aca="false">($D$12)*MIN(($B$12*$C$12*$H$12)*MAX(1,ROUNDUP(((D$28)*$B$12*설정!$B$57)/설정!$B$61,0))+((D$28)*$B$12*설정!$B$57)+((D$28)*$C$12*설정!$B$57),($B$12*$C$12*$H$12)+((D$28)*$B$12*설정!$B$57)*MAX(1,ROUNDUP(($B$12*$C$12*$H$12)/설정!$B$61,0))+((D$28)*$C$12*설정!$B$57))</f>
        <v>0</v>
      </c>
      <c r="E54" s="67" t="n">
        <f aca="false">($D$12)*MIN(($B$12*$C$12*$H$12)*MAX(1,ROUNDUP(((E$28)*$B$12*설정!$B$57)/설정!$B$61,0))+((E$28)*$B$12*설정!$B$57)+((E$28)*$C$12*설정!$B$57),($B$12*$C$12*$H$12)+((E$28)*$B$12*설정!$B$57)*MAX(1,ROUNDUP(($B$12*$C$12*$H$12)/설정!$B$61,0))+((E$28)*$C$12*설정!$B$57))</f>
        <v>0</v>
      </c>
      <c r="F54" s="67" t="n">
        <f aca="false">($D$12)*MIN(($B$12*$C$12*$H$12)*MAX(1,ROUNDUP(((F$28)*$B$12*설정!$B$57)/설정!$B$61,0))+((F$28)*$B$12*설정!$B$57)+((F$28)*$C$12*설정!$B$57),($B$12*$C$12*$H$12)+((F$28)*$B$12*설정!$B$57)*MAX(1,ROUNDUP(($B$12*$C$12*$H$12)/설정!$B$61,0))+((F$28)*$C$12*설정!$B$57))</f>
        <v>0</v>
      </c>
      <c r="G54" s="67" t="n">
        <f aca="false">($D$12)*MIN(($B$12*$C$12*$H$12)*MAX(1,ROUNDUP(((G$28)*$B$12*설정!$B$57)/설정!$B$61,0))+((G$28)*$B$12*설정!$B$57)+((G$28)*$C$12*설정!$B$57),($B$12*$C$12*$H$12)+((G$28)*$B$12*설정!$B$57)*MAX(1,ROUNDUP(($B$12*$C$12*$H$12)/설정!$B$61,0))+((G$28)*$C$12*설정!$B$57))</f>
        <v>0</v>
      </c>
      <c r="H54" s="67" t="n">
        <f aca="false">($D$12)*MIN(($B$12*$C$12*$H$12)*MAX(1,ROUNDUP(((H$28)*$B$12*설정!$B$57)/설정!$B$61,0))+((H$28)*$B$12*설정!$B$57)+((H$28)*$C$12*설정!$B$57),($B$12*$C$12*$H$12)+((H$28)*$B$12*설정!$B$57)*MAX(1,ROUNDUP(($B$12*$C$12*$H$12)/설정!$B$61,0))+((H$28)*$C$12*설정!$B$57))</f>
        <v>0</v>
      </c>
      <c r="I54" s="2"/>
    </row>
    <row r="55" customFormat="false" ht="17.15" hidden="false" customHeight="false" outlineLevel="0" collapsed="false">
      <c r="A55" s="30" t="s">
        <v>304</v>
      </c>
      <c r="B55" s="68" t="n">
        <f aca="false">MAX(B53/$I$12,B54/설정!$B$60)*1000</f>
        <v>0</v>
      </c>
      <c r="C55" s="68" t="n">
        <f aca="false">MAX(C53/$I$12,C54/설정!$B$60)*1000</f>
        <v>0</v>
      </c>
      <c r="D55" s="68" t="n">
        <f aca="false">MAX(D53/$I$12,D54/설정!$B$60)*1000</f>
        <v>0</v>
      </c>
      <c r="E55" s="68" t="n">
        <f aca="false">MAX(E53/$I$12,E54/설정!$B$60)*1000</f>
        <v>0</v>
      </c>
      <c r="F55" s="68" t="n">
        <f aca="false">MAX(F53/$I$12,F54/설정!$B$60)*1000</f>
        <v>0</v>
      </c>
      <c r="G55" s="68" t="n">
        <f aca="false">MAX(G53/$I$12,G54/설정!$B$60)*1000</f>
        <v>0</v>
      </c>
      <c r="H55" s="68" t="n">
        <f aca="false">MAX(H53/$I$12,H54/설정!$B$60)*1000</f>
        <v>0</v>
      </c>
      <c r="I55" s="2"/>
    </row>
    <row r="56" customFormat="false" ht="17.15" hidden="false" customHeight="false" outlineLevel="0" collapsed="false">
      <c r="A56" s="30" t="s">
        <v>305</v>
      </c>
      <c r="B56" s="67" t="n">
        <f aca="false">($D$13)*2*(B$28)*$B$13*$C$13</f>
        <v>128849018880</v>
      </c>
      <c r="C56" s="67" t="n">
        <f aca="false">($D$13)*2*(C$28)*$B$13*$C$13</f>
        <v>257698037760</v>
      </c>
      <c r="D56" s="67" t="n">
        <f aca="false">($D$13)*2*(D$28)*$B$13*$C$13</f>
        <v>515396075520</v>
      </c>
      <c r="E56" s="67" t="n">
        <f aca="false">($D$13)*2*(E$28)*$B$13*$C$13</f>
        <v>1030792151040</v>
      </c>
      <c r="F56" s="67" t="n">
        <f aca="false">($D$13)*2*(F$28)*$B$13*$C$13</f>
        <v>2061584302080</v>
      </c>
      <c r="G56" s="67" t="n">
        <f aca="false">($D$13)*2*(G$28)*$B$13*$C$13</f>
        <v>4123168604160</v>
      </c>
      <c r="H56" s="67" t="n">
        <f aca="false">($D$13)*2*(H$28)*$B$13*$C$13</f>
        <v>8246337208320</v>
      </c>
      <c r="I56" s="2"/>
    </row>
    <row r="57" customFormat="false" ht="17.15" hidden="false" customHeight="false" outlineLevel="0" collapsed="false">
      <c r="A57" s="30" t="s">
        <v>306</v>
      </c>
      <c r="B57" s="67" t="n">
        <f aca="false">($D$13)*MIN(($B$13*$C$13*$H$13)*MAX(1,ROUNDUP(((B$28)*$B$13*설정!$B$57)/설정!$B$61,0))+((B$28)*$B$13*설정!$B$57)+((B$28)*$C$13*설정!$B$57),($B$13*$C$13*$H$13)+((B$28)*$B$13*설정!$B$57)*MAX(1,ROUNDUP(($B$13*$C$13*$H$13)/설정!$B$61,0))+((B$28)*$C$13*설정!$B$57))</f>
        <v>298844160</v>
      </c>
      <c r="C57" s="67" t="n">
        <f aca="false">($D$13)*MIN(($B$13*$C$13*$H$13)*MAX(1,ROUNDUP(((C$28)*$B$13*설정!$B$57)/설정!$B$61,0))+((C$28)*$B$13*설정!$B$57)+((C$28)*$C$13*설정!$B$57),($B$13*$C$13*$H$13)+((C$28)*$B$13*설정!$B$57)*MAX(1,ROUNDUP(($B$13*$C$13*$H$13)/설정!$B$61,0))+((C$28)*$C$13*설정!$B$57))</f>
        <v>338165760</v>
      </c>
      <c r="D57" s="67" t="n">
        <f aca="false">($D$13)*MIN(($B$13*$C$13*$H$13)*MAX(1,ROUNDUP(((D$28)*$B$13*설정!$B$57)/설정!$B$61,0))+((D$28)*$B$13*설정!$B$57)+((D$28)*$C$13*설정!$B$57),($B$13*$C$13*$H$13)+((D$28)*$B$13*설정!$B$57)*MAX(1,ROUNDUP(($B$13*$C$13*$H$13)/설정!$B$61,0))+((D$28)*$C$13*설정!$B$57))</f>
        <v>416808960</v>
      </c>
      <c r="E57" s="67" t="n">
        <f aca="false">($D$13)*MIN(($B$13*$C$13*$H$13)*MAX(1,ROUNDUP(((E$28)*$B$13*설정!$B$57)/설정!$B$61,0))+((E$28)*$B$13*설정!$B$57)+((E$28)*$C$13*설정!$B$57),($B$13*$C$13*$H$13)+((E$28)*$B$13*설정!$B$57)*MAX(1,ROUNDUP(($B$13*$C$13*$H$13)/설정!$B$61,0))+((E$28)*$C$13*설정!$B$57))</f>
        <v>833617920</v>
      </c>
      <c r="F57" s="67" t="n">
        <f aca="false">($D$13)*MIN(($B$13*$C$13*$H$13)*MAX(1,ROUNDUP(((F$28)*$B$13*설정!$B$57)/설정!$B$61,0))+((F$28)*$B$13*설정!$B$57)+((F$28)*$C$13*설정!$B$57),($B$13*$C$13*$H$13)+((F$28)*$B$13*설정!$B$57)*MAX(1,ROUNDUP(($B$13*$C$13*$H$13)/설정!$B$61,0))+((F$28)*$C$13*설정!$B$57))</f>
        <v>1407713280</v>
      </c>
      <c r="G57" s="67" t="n">
        <f aca="false">($D$13)*MIN(($B$13*$C$13*$H$13)*MAX(1,ROUNDUP(((G$28)*$B$13*설정!$B$57)/설정!$B$61,0))+((G$28)*$B$13*설정!$B$57)+((G$28)*$C$13*설정!$B$57),($B$13*$C$13*$H$13)+((G$28)*$B$13*설정!$B$57)*MAX(1,ROUNDUP(($B$13*$C$13*$H$13)/설정!$B$61,0))+((G$28)*$C$13*설정!$B$57))</f>
        <v>2555904000</v>
      </c>
      <c r="H57" s="67" t="n">
        <f aca="false">($D$13)*MIN(($B$13*$C$13*$H$13)*MAX(1,ROUNDUP(((H$28)*$B$13*설정!$B$57)/설정!$B$61,0))+((H$28)*$B$13*설정!$B$57)+((H$28)*$C$13*설정!$B$57),($B$13*$C$13*$H$13)+((H$28)*$B$13*설정!$B$57)*MAX(1,ROUNDUP(($B$13*$C$13*$H$13)/설정!$B$61,0))+((H$28)*$C$13*설정!$B$57))</f>
        <v>5111808000</v>
      </c>
      <c r="I57" s="2"/>
    </row>
    <row r="58" customFormat="false" ht="17.15" hidden="false" customHeight="false" outlineLevel="0" collapsed="false">
      <c r="A58" s="30" t="s">
        <v>307</v>
      </c>
      <c r="B58" s="68" t="n">
        <f aca="false">MAX(B56/$I$13,B57/설정!$B$60)*1000</f>
        <v>5.85968941176471</v>
      </c>
      <c r="C58" s="68" t="n">
        <f aca="false">MAX(C56/$I$13,C57/설정!$B$60)*1000</f>
        <v>10.73741824</v>
      </c>
      <c r="D58" s="68" t="n">
        <f aca="false">MAX(D56/$I$13,D57/설정!$B$60)*1000</f>
        <v>21.47483648</v>
      </c>
      <c r="E58" s="68" t="n">
        <f aca="false">MAX(E56/$I$13,E57/설정!$B$60)*1000</f>
        <v>42.94967296</v>
      </c>
      <c r="F58" s="68" t="n">
        <f aca="false">MAX(F56/$I$13,F57/설정!$B$60)*1000</f>
        <v>85.89934592</v>
      </c>
      <c r="G58" s="68" t="n">
        <f aca="false">MAX(G56/$I$13,G57/설정!$B$60)*1000</f>
        <v>171.79869184</v>
      </c>
      <c r="H58" s="68" t="n">
        <f aca="false">MAX(H56/$I$13,H57/설정!$B$60)*1000</f>
        <v>343.59738368</v>
      </c>
      <c r="I58" s="2"/>
    </row>
    <row r="59" customFormat="false" ht="17.15" hidden="false" customHeight="false" outlineLevel="0" collapsed="false">
      <c r="A59" s="30" t="s">
        <v>308</v>
      </c>
      <c r="B59" s="67" t="n">
        <f aca="false">($D$14)*2*(B$28)*$B$14*$C$14</f>
        <v>64424509440</v>
      </c>
      <c r="C59" s="67" t="n">
        <f aca="false">($D$14)*2*(C$28)*$B$14*$C$14</f>
        <v>128849018880</v>
      </c>
      <c r="D59" s="67" t="n">
        <f aca="false">($D$14)*2*(D$28)*$B$14*$C$14</f>
        <v>257698037760</v>
      </c>
      <c r="E59" s="67" t="n">
        <f aca="false">($D$14)*2*(E$28)*$B$14*$C$14</f>
        <v>515396075520</v>
      </c>
      <c r="F59" s="67" t="n">
        <f aca="false">($D$14)*2*(F$28)*$B$14*$C$14</f>
        <v>1030792151040</v>
      </c>
      <c r="G59" s="67" t="n">
        <f aca="false">($D$14)*2*(G$28)*$B$14*$C$14</f>
        <v>2061584302080</v>
      </c>
      <c r="H59" s="67" t="n">
        <f aca="false">($D$14)*2*(H$28)*$B$14*$C$14</f>
        <v>4123168604160</v>
      </c>
      <c r="I59" s="2"/>
    </row>
    <row r="60" customFormat="false" ht="17.15" hidden="false" customHeight="false" outlineLevel="0" collapsed="false">
      <c r="A60" s="30" t="s">
        <v>309</v>
      </c>
      <c r="B60" s="67" t="n">
        <f aca="false">($D$14)*MIN(($B$14*$C$14*$H$14)*MAX(1,ROUNDUP(((B$28)*$B$14*설정!$B$57)/설정!$B$61,0))+((B$28)*$B$14*설정!$B$57)+((B$28)*$C$14*설정!$B$57),($B$14*$C$14*$H$14)+((B$28)*$B$14*설정!$B$57)*MAX(1,ROUNDUP(($B$14*$C$14*$H$14)/설정!$B$61,0))+((B$28)*$C$14*설정!$B$57))</f>
        <v>153354240</v>
      </c>
      <c r="C60" s="67" t="n">
        <f aca="false">($D$14)*MIN(($B$14*$C$14*$H$14)*MAX(1,ROUNDUP(((C$28)*$B$14*설정!$B$57)/설정!$B$61,0))+((C$28)*$B$14*설정!$B$57)+((C$28)*$C$14*설정!$B$57),($B$14*$C$14*$H$14)+((C$28)*$B$14*설정!$B$57)*MAX(1,ROUNDUP(($B$14*$C$14*$H$14)/설정!$B$61,0))+((C$28)*$C$14*설정!$B$57))</f>
        <v>176947200</v>
      </c>
      <c r="D60" s="67" t="n">
        <f aca="false">($D$14)*MIN(($B$14*$C$14*$H$14)*MAX(1,ROUNDUP(((D$28)*$B$14*설정!$B$57)/설정!$B$61,0))+((D$28)*$B$14*설정!$B$57)+((D$28)*$C$14*설정!$B$57),($B$14*$C$14*$H$14)+((D$28)*$B$14*설정!$B$57)*MAX(1,ROUNDUP(($B$14*$C$14*$H$14)/설정!$B$61,0))+((D$28)*$C$14*설정!$B$57))</f>
        <v>224133120</v>
      </c>
      <c r="E60" s="67" t="n">
        <f aca="false">($D$14)*MIN(($B$14*$C$14*$H$14)*MAX(1,ROUNDUP(((E$28)*$B$14*설정!$B$57)/설정!$B$61,0))+((E$28)*$B$14*설정!$B$57)+((E$28)*$C$14*설정!$B$57),($B$14*$C$14*$H$14)+((E$28)*$B$14*설정!$B$57)*MAX(1,ROUNDUP(($B$14*$C$14*$H$14)/설정!$B$61,0))+((E$28)*$C$14*설정!$B$57))</f>
        <v>444334080</v>
      </c>
      <c r="F60" s="67" t="n">
        <f aca="false">($D$14)*MIN(($B$14*$C$14*$H$14)*MAX(1,ROUNDUP(((F$28)*$B$14*설정!$B$57)/설정!$B$61,0))+((F$28)*$B$14*설정!$B$57)+((F$28)*$C$14*설정!$B$57),($B$14*$C$14*$H$14)+((F$28)*$B$14*설정!$B$57)*MAX(1,ROUNDUP(($B$14*$C$14*$H$14)/설정!$B$61,0))+((F$28)*$C$14*설정!$B$57))</f>
        <v>758906880</v>
      </c>
      <c r="G60" s="67" t="n">
        <f aca="false">($D$14)*MIN(($B$14*$C$14*$H$14)*MAX(1,ROUNDUP(((G$28)*$B$14*설정!$B$57)/설정!$B$61,0))+((G$28)*$B$14*설정!$B$57)+((G$28)*$C$14*설정!$B$57),($B$14*$C$14*$H$14)+((G$28)*$B$14*설정!$B$57)*MAX(1,ROUNDUP(($B$14*$C$14*$H$14)/설정!$B$61,0))+((G$28)*$C$14*설정!$B$57))</f>
        <v>1388052480</v>
      </c>
      <c r="H60" s="67" t="n">
        <f aca="false">($D$14)*MIN(($B$14*$C$14*$H$14)*MAX(1,ROUNDUP(((H$28)*$B$14*설정!$B$57)/설정!$B$61,0))+((H$28)*$B$14*설정!$B$57)+((H$28)*$C$14*설정!$B$57),($B$14*$C$14*$H$14)+((H$28)*$B$14*설정!$B$57)*MAX(1,ROUNDUP(($B$14*$C$14*$H$14)/설정!$B$61,0))+((H$28)*$C$14*설정!$B$57))</f>
        <v>2646343680</v>
      </c>
      <c r="I60" s="2"/>
    </row>
    <row r="61" customFormat="false" ht="17.15" hidden="false" customHeight="false" outlineLevel="0" collapsed="false">
      <c r="A61" s="30" t="s">
        <v>310</v>
      </c>
      <c r="B61" s="68" t="n">
        <f aca="false">MAX(B59/$I$14,B60/설정!$B$60)*1000</f>
        <v>3.00694588235294</v>
      </c>
      <c r="C61" s="68" t="n">
        <f aca="false">MAX(C59/$I$14,C60/설정!$B$60)*1000</f>
        <v>5.36870912</v>
      </c>
      <c r="D61" s="68" t="n">
        <f aca="false">MAX(D59/$I$14,D60/설정!$B$60)*1000</f>
        <v>10.73741824</v>
      </c>
      <c r="E61" s="68" t="n">
        <f aca="false">MAX(E59/$I$14,E60/설정!$B$60)*1000</f>
        <v>21.47483648</v>
      </c>
      <c r="F61" s="68" t="n">
        <f aca="false">MAX(F59/$I$14,F60/설정!$B$60)*1000</f>
        <v>42.94967296</v>
      </c>
      <c r="G61" s="68" t="n">
        <f aca="false">MAX(G59/$I$14,G60/설정!$B$60)*1000</f>
        <v>85.89934592</v>
      </c>
      <c r="H61" s="68" t="n">
        <f aca="false">MAX(H59/$I$14,H60/설정!$B$60)*1000</f>
        <v>171.79869184</v>
      </c>
      <c r="I61" s="2"/>
    </row>
    <row r="62" customFormat="false" ht="17.15" hidden="false" customHeight="false" outlineLevel="0" collapsed="false">
      <c r="A62" s="30" t="s">
        <v>311</v>
      </c>
      <c r="B62" s="67" t="n">
        <f aca="false">($D$15)*2*(B$28)*$B$15*$C$15</f>
        <v>1006632960</v>
      </c>
      <c r="C62" s="67" t="n">
        <f aca="false">($D$15)*2*(C$28)*$B$15*$C$15</f>
        <v>2013265920</v>
      </c>
      <c r="D62" s="67" t="n">
        <f aca="false">($D$15)*2*(D$28)*$B$15*$C$15</f>
        <v>4026531840</v>
      </c>
      <c r="E62" s="67" t="n">
        <f aca="false">($D$15)*2*(E$28)*$B$15*$C$15</f>
        <v>8053063680</v>
      </c>
      <c r="F62" s="67" t="n">
        <f aca="false">($D$15)*2*(F$28)*$B$15*$C$15</f>
        <v>16106127360</v>
      </c>
      <c r="G62" s="67" t="n">
        <f aca="false">($D$15)*2*(G$28)*$B$15*$C$15</f>
        <v>32212254720</v>
      </c>
      <c r="H62" s="67" t="n">
        <f aca="false">($D$15)*2*(H$28)*$B$15*$C$15</f>
        <v>64424509440</v>
      </c>
      <c r="I62" s="2"/>
    </row>
    <row r="63" customFormat="false" ht="17.15" hidden="false" customHeight="false" outlineLevel="0" collapsed="false">
      <c r="A63" s="30" t="s">
        <v>312</v>
      </c>
      <c r="B63" s="67" t="n">
        <f aca="false">($D$15)*MIN(($B$15*$C$15*$H$15)*MAX(1,ROUNDUP(((B$28)*$B$15*설정!$B$57)/설정!$B$61,0))+((B$28)*$B$15*설정!$B$57)+((B$28)*$C$15*설정!$B$57),($B$15*$C$15*$H$15)+((B$28)*$B$15*설정!$B$57)*MAX(1,ROUNDUP(($B$15*$C$15*$H$15)/설정!$B$61,0))+((B$28)*$C$15*설정!$B$57))</f>
        <v>10137600</v>
      </c>
      <c r="C63" s="67" t="n">
        <f aca="false">($D$15)*MIN(($B$15*$C$15*$H$15)*MAX(1,ROUNDUP(((C$28)*$B$15*설정!$B$57)/설정!$B$61,0))+((C$28)*$B$15*설정!$B$57)+((C$28)*$C$15*설정!$B$57),($B$15*$C$15*$H$15)+((C$28)*$B$15*설정!$B$57)*MAX(1,ROUNDUP(($B$15*$C$15*$H$15)/설정!$B$61,0))+((C$28)*$C$15*설정!$B$57))</f>
        <v>18247680</v>
      </c>
      <c r="D63" s="67" t="n">
        <f aca="false">($D$15)*MIN(($B$15*$C$15*$H$15)*MAX(1,ROUNDUP(((D$28)*$B$15*설정!$B$57)/설정!$B$61,0))+((D$28)*$B$15*설정!$B$57)+((D$28)*$C$15*설정!$B$57),($B$15*$C$15*$H$15)+((D$28)*$B$15*설정!$B$57)*MAX(1,ROUNDUP(($B$15*$C$15*$H$15)/설정!$B$61,0))+((D$28)*$C$15*설정!$B$57))</f>
        <v>34467840</v>
      </c>
      <c r="E63" s="67" t="n">
        <f aca="false">($D$15)*MIN(($B$15*$C$15*$H$15)*MAX(1,ROUNDUP(((E$28)*$B$15*설정!$B$57)/설정!$B$61,0))+((E$28)*$B$15*설정!$B$57)+((E$28)*$C$15*설정!$B$57),($B$15*$C$15*$H$15)+((E$28)*$B$15*설정!$B$57)*MAX(1,ROUNDUP(($B$15*$C$15*$H$15)/설정!$B$61,0))+((E$28)*$C$15*설정!$B$57))</f>
        <v>66908160</v>
      </c>
      <c r="F63" s="67" t="n">
        <f aca="false">($D$15)*MIN(($B$15*$C$15*$H$15)*MAX(1,ROUNDUP(((F$28)*$B$15*설정!$B$57)/설정!$B$61,0))+((F$28)*$B$15*설정!$B$57)+((F$28)*$C$15*설정!$B$57),($B$15*$C$15*$H$15)+((F$28)*$B$15*설정!$B$57)*MAX(1,ROUNDUP(($B$15*$C$15*$H$15)/설정!$B$61,0))+((F$28)*$C$15*설정!$B$57))</f>
        <v>131788800</v>
      </c>
      <c r="G63" s="67" t="n">
        <f aca="false">($D$15)*MIN(($B$15*$C$15*$H$15)*MAX(1,ROUNDUP(((G$28)*$B$15*설정!$B$57)/설정!$B$61,0))+((G$28)*$B$15*설정!$B$57)+((G$28)*$C$15*설정!$B$57),($B$15*$C$15*$H$15)+((G$28)*$B$15*설정!$B$57)*MAX(1,ROUNDUP(($B$15*$C$15*$H$15)/설정!$B$61,0))+((G$28)*$C$15*설정!$B$57))</f>
        <v>261550080</v>
      </c>
      <c r="H63" s="67" t="n">
        <f aca="false">($D$15)*MIN(($B$15*$C$15*$H$15)*MAX(1,ROUNDUP(((H$28)*$B$15*설정!$B$57)/설정!$B$61,0))+((H$28)*$B$15*설정!$B$57)+((H$28)*$C$15*설정!$B$57),($B$15*$C$15*$H$15)+((H$28)*$B$15*설정!$B$57)*MAX(1,ROUNDUP(($B$15*$C$15*$H$15)/설정!$B$61,0))+((H$28)*$C$15*설정!$B$57))</f>
        <v>521072640</v>
      </c>
      <c r="I63" s="2"/>
    </row>
    <row r="64" customFormat="false" ht="17.15" hidden="false" customHeight="false" outlineLevel="0" collapsed="false">
      <c r="A64" s="30" t="s">
        <v>313</v>
      </c>
      <c r="B64" s="68" t="n">
        <f aca="false">MAX(B62/$I$15,B63/설정!$B$60)*1000</f>
        <v>0.198776470588235</v>
      </c>
      <c r="C64" s="68" t="n">
        <f aca="false">MAX(C62/$I$15,C63/설정!$B$60)*1000</f>
        <v>0.357797647058824</v>
      </c>
      <c r="D64" s="68" t="n">
        <f aca="false">MAX(D62/$I$15,D63/설정!$B$60)*1000</f>
        <v>0.67584</v>
      </c>
      <c r="E64" s="68" t="n">
        <f aca="false">MAX(E62/$I$15,E63/설정!$B$60)*1000</f>
        <v>1.31192470588235</v>
      </c>
      <c r="F64" s="68" t="n">
        <f aca="false">MAX(F62/$I$15,F63/설정!$B$60)*1000</f>
        <v>2.58409411764706</v>
      </c>
      <c r="G64" s="68" t="n">
        <f aca="false">MAX(G62/$I$15,G63/설정!$B$60)*1000</f>
        <v>5.12843294117647</v>
      </c>
      <c r="H64" s="68" t="n">
        <f aca="false">MAX(H62/$I$15,H63/설정!$B$60)*1000</f>
        <v>10.2171105882353</v>
      </c>
      <c r="I64" s="2"/>
    </row>
    <row r="65" customFormat="false" ht="17.15" hidden="false" customHeight="false" outlineLevel="0" collapsed="false">
      <c r="A65" s="30" t="s">
        <v>314</v>
      </c>
      <c r="B65" s="67" t="n">
        <f aca="false">($D$16)*2*(B$28)*$B$16*$C$16</f>
        <v>64424509440</v>
      </c>
      <c r="C65" s="67" t="n">
        <f aca="false">($D$16)*2*(C$28)*$B$16*$C$16</f>
        <v>128849018880</v>
      </c>
      <c r="D65" s="67" t="n">
        <f aca="false">($D$16)*2*(D$28)*$B$16*$C$16</f>
        <v>257698037760</v>
      </c>
      <c r="E65" s="67" t="n">
        <f aca="false">($D$16)*2*(E$28)*$B$16*$C$16</f>
        <v>515396075520</v>
      </c>
      <c r="F65" s="67" t="n">
        <f aca="false">($D$16)*2*(F$28)*$B$16*$C$16</f>
        <v>1030792151040</v>
      </c>
      <c r="G65" s="67" t="n">
        <f aca="false">($D$16)*2*(G$28)*$B$16*$C$16</f>
        <v>2061584302080</v>
      </c>
      <c r="H65" s="67" t="n">
        <f aca="false">($D$16)*2*(H$28)*$B$16*$C$16</f>
        <v>4123168604160</v>
      </c>
      <c r="I65" s="2"/>
    </row>
    <row r="66" customFormat="false" ht="17.15" hidden="false" customHeight="false" outlineLevel="0" collapsed="false">
      <c r="A66" s="30" t="s">
        <v>315</v>
      </c>
      <c r="B66" s="67" t="n">
        <f aca="false">($D$16)*MIN(($B$16*$C$16*$H$16)*MAX(1,ROUNDUP(((B$28)*$B$16*설정!$B$57)/설정!$B$61,0))+((B$28)*$B$16*설정!$B$57)+((B$28)*$C$16*설정!$B$57),($B$16*$C$16*$H$16)+((B$28)*$B$16*설정!$B$57)*MAX(1,ROUNDUP(($B$16*$C$16*$H$16)/설정!$B$61,0))+((B$28)*$C$16*설정!$B$57))</f>
        <v>153354240</v>
      </c>
      <c r="C66" s="67" t="n">
        <f aca="false">($D$16)*MIN(($B$16*$C$16*$H$16)*MAX(1,ROUNDUP(((C$28)*$B$16*설정!$B$57)/설정!$B$61,0))+((C$28)*$B$16*설정!$B$57)+((C$28)*$C$16*설정!$B$57),($B$16*$C$16*$H$16)+((C$28)*$B$16*설정!$B$57)*MAX(1,ROUNDUP(($B$16*$C$16*$H$16)/설정!$B$61,0))+((C$28)*$C$16*설정!$B$57))</f>
        <v>176947200</v>
      </c>
      <c r="D66" s="67" t="n">
        <f aca="false">($D$16)*MIN(($B$16*$C$16*$H$16)*MAX(1,ROUNDUP(((D$28)*$B$16*설정!$B$57)/설정!$B$61,0))+((D$28)*$B$16*설정!$B$57)+((D$28)*$C$16*설정!$B$57),($B$16*$C$16*$H$16)+((D$28)*$B$16*설정!$B$57)*MAX(1,ROUNDUP(($B$16*$C$16*$H$16)/설정!$B$61,0))+((D$28)*$C$16*설정!$B$57))</f>
        <v>349962240</v>
      </c>
      <c r="E66" s="67" t="n">
        <f aca="false">($D$16)*MIN(($B$16*$C$16*$H$16)*MAX(1,ROUNDUP(((E$28)*$B$16*설정!$B$57)/설정!$B$61,0))+((E$28)*$B$16*설정!$B$57)+((E$28)*$C$16*설정!$B$57),($B$16*$C$16*$H$16)+((E$28)*$B$16*설정!$B$57)*MAX(1,ROUNDUP(($B$16*$C$16*$H$16)/설정!$B$61,0))+((E$28)*$C$16*설정!$B$57))</f>
        <v>570163200</v>
      </c>
      <c r="F66" s="67" t="n">
        <f aca="false">($D$16)*MIN(($B$16*$C$16*$H$16)*MAX(1,ROUNDUP(((F$28)*$B$16*설정!$B$57)/설정!$B$61,0))+((F$28)*$B$16*설정!$B$57)+((F$28)*$C$16*설정!$B$57),($B$16*$C$16*$H$16)+((F$28)*$B$16*설정!$B$57)*MAX(1,ROUNDUP(($B$16*$C$16*$H$16)/설정!$B$61,0))+((F$28)*$C$16*설정!$B$57))</f>
        <v>1010565120</v>
      </c>
      <c r="G66" s="67" t="n">
        <f aca="false">($D$16)*MIN(($B$16*$C$16*$H$16)*MAX(1,ROUNDUP(((G$28)*$B$16*설정!$B$57)/설정!$B$61,0))+((G$28)*$B$16*설정!$B$57)+((G$28)*$C$16*설정!$B$57),($B$16*$C$16*$H$16)+((G$28)*$B$16*설정!$B$57)*MAX(1,ROUNDUP(($B$16*$C$16*$H$16)/설정!$B$61,0))+((G$28)*$C$16*설정!$B$57))</f>
        <v>1891368960</v>
      </c>
      <c r="H66" s="67" t="n">
        <f aca="false">($D$16)*MIN(($B$16*$C$16*$H$16)*MAX(1,ROUNDUP(((H$28)*$B$16*설정!$B$57)/설정!$B$61,0))+((H$28)*$B$16*설정!$B$57)+((H$28)*$C$16*설정!$B$57),($B$16*$C$16*$H$16)+((H$28)*$B$16*설정!$B$57)*MAX(1,ROUNDUP(($B$16*$C$16*$H$16)/설정!$B$61,0))+((H$28)*$C$16*설정!$B$57))</f>
        <v>3652976640</v>
      </c>
      <c r="I66" s="2"/>
    </row>
    <row r="67" customFormat="false" ht="17.15" hidden="false" customHeight="false" outlineLevel="0" collapsed="false">
      <c r="A67" s="30" t="s">
        <v>316</v>
      </c>
      <c r="B67" s="68" t="n">
        <f aca="false">MAX(B65/$I$16,B66/설정!$B$60)*1000</f>
        <v>3.00694588235294</v>
      </c>
      <c r="C67" s="68" t="n">
        <f aca="false">MAX(C65/$I$16,C66/설정!$B$60)*1000</f>
        <v>5.36870912</v>
      </c>
      <c r="D67" s="68" t="n">
        <f aca="false">MAX(D65/$I$16,D66/설정!$B$60)*1000</f>
        <v>10.73741824</v>
      </c>
      <c r="E67" s="68" t="n">
        <f aca="false">MAX(E65/$I$16,E66/설정!$B$60)*1000</f>
        <v>21.47483648</v>
      </c>
      <c r="F67" s="68" t="n">
        <f aca="false">MAX(F65/$I$16,F66/설정!$B$60)*1000</f>
        <v>42.94967296</v>
      </c>
      <c r="G67" s="68" t="n">
        <f aca="false">MAX(G65/$I$16,G66/설정!$B$60)*1000</f>
        <v>85.89934592</v>
      </c>
      <c r="H67" s="68" t="n">
        <f aca="false">MAX(H65/$I$16,H66/설정!$B$60)*1000</f>
        <v>171.79869184</v>
      </c>
      <c r="I67" s="2"/>
    </row>
    <row r="68" customFormat="false" ht="17.15" hidden="false" customHeight="false" outlineLevel="0" collapsed="false">
      <c r="A68" s="30" t="s">
        <v>317</v>
      </c>
      <c r="B68" s="67" t="n">
        <f aca="false">($D$17)*2*(B$28)*$B$17*$C$17</f>
        <v>5368709120</v>
      </c>
      <c r="C68" s="67" t="n">
        <f aca="false">($D$17)*2*(C$28)*$B$17*$C$17</f>
        <v>10737418240</v>
      </c>
      <c r="D68" s="67" t="n">
        <f aca="false">($D$17)*2*(D$28)*$B$17*$C$17</f>
        <v>21474836480</v>
      </c>
      <c r="E68" s="67" t="n">
        <f aca="false">($D$17)*2*(E$28)*$B$17*$C$17</f>
        <v>42949672960</v>
      </c>
      <c r="F68" s="67" t="n">
        <f aca="false">($D$17)*2*(F$28)*$B$17*$C$17</f>
        <v>85899345920</v>
      </c>
      <c r="G68" s="67" t="n">
        <f aca="false">($D$17)*2*(G$28)*$B$17*$C$17</f>
        <v>171798691840</v>
      </c>
      <c r="H68" s="67" t="n">
        <f aca="false">($D$17)*2*(H$28)*$B$17*$C$17</f>
        <v>343597383680</v>
      </c>
      <c r="I68" s="2"/>
    </row>
    <row r="69" customFormat="false" ht="17.15" hidden="false" customHeight="false" outlineLevel="0" collapsed="false">
      <c r="A69" s="30" t="s">
        <v>318</v>
      </c>
      <c r="B69" s="67" t="n">
        <f aca="false">($D$17)*MIN(($B$17*$C$17*$H$17)*MAX(1,ROUNDUP(((B$28)*$B$17*설정!$B$57)/설정!$B$61,0))+((B$28)*$B$17*설정!$B$57)+((B$28)*$C$17*설정!$B$57),($B$17*$C$17*$H$17)+((B$28)*$B$17*설정!$B$57)*MAX(1,ROUNDUP(($B$17*$C$17*$H$17)/설정!$B$61,0))+((B$28)*$C$17*설정!$B$57))</f>
        <v>33095680</v>
      </c>
      <c r="C69" s="67" t="n">
        <f aca="false">($D$17)*MIN(($B$17*$C$17*$H$17)*MAX(1,ROUNDUP(((C$28)*$B$17*설정!$B$57)/설정!$B$61,0))+((C$28)*$B$17*설정!$B$57)+((C$28)*$C$17*설정!$B$57),($B$17*$C$17*$H$17)+((C$28)*$B$17*설정!$B$57)*MAX(1,ROUNDUP(($B$17*$C$17*$H$17)/설정!$B$61,0))+((C$28)*$C$17*설정!$B$57))</f>
        <v>44892160</v>
      </c>
      <c r="D69" s="67" t="n">
        <f aca="false">($D$17)*MIN(($B$17*$C$17*$H$17)*MAX(1,ROUNDUP(((D$28)*$B$17*설정!$B$57)/설정!$B$61,0))+((D$28)*$B$17*설정!$B$57)+((D$28)*$C$17*설정!$B$57),($B$17*$C$17*$H$17)+((D$28)*$B$17*설정!$B$57)*MAX(1,ROUNDUP(($B$17*$C$17*$H$17)/설정!$B$61,0))+((D$28)*$C$17*설정!$B$57))</f>
        <v>68485120</v>
      </c>
      <c r="E69" s="67" t="n">
        <f aca="false">($D$17)*MIN(($B$17*$C$17*$H$17)*MAX(1,ROUNDUP(((E$28)*$B$17*설정!$B$57)/설정!$B$61,0))+((E$28)*$B$17*설정!$B$57)+((E$28)*$C$17*설정!$B$57),($B$17*$C$17*$H$17)+((E$28)*$B$17*설정!$B$57)*MAX(1,ROUNDUP(($B$17*$C$17*$H$17)/설정!$B$61,0))+((E$28)*$C$17*설정!$B$57))</f>
        <v>115671040</v>
      </c>
      <c r="F69" s="67" t="n">
        <f aca="false">($D$17)*MIN(($B$17*$C$17*$H$17)*MAX(1,ROUNDUP(((F$28)*$B$17*설정!$B$57)/설정!$B$61,0))+((F$28)*$B$17*설정!$B$57)+((F$28)*$C$17*설정!$B$57),($B$17*$C$17*$H$17)+((F$28)*$B$17*설정!$B$57)*MAX(1,ROUNDUP(($B$17*$C$17*$H$17)/설정!$B$61,0))+((F$28)*$C$17*설정!$B$57))</f>
        <v>210042880</v>
      </c>
      <c r="G69" s="67" t="n">
        <f aca="false">($D$17)*MIN(($B$17*$C$17*$H$17)*MAX(1,ROUNDUP(((G$28)*$B$17*설정!$B$57)/설정!$B$61,0))+((G$28)*$B$17*설정!$B$57)+((G$28)*$C$17*설정!$B$57),($B$17*$C$17*$H$17)+((G$28)*$B$17*설정!$B$57)*MAX(1,ROUNDUP(($B$17*$C$17*$H$17)/설정!$B$61,0))+((G$28)*$C$17*설정!$B$57))</f>
        <v>398786560</v>
      </c>
      <c r="H69" s="67" t="n">
        <f aca="false">($D$17)*MIN(($B$17*$C$17*$H$17)*MAX(1,ROUNDUP(((H$28)*$B$17*설정!$B$57)/설정!$B$61,0))+((H$28)*$B$17*설정!$B$57)+((H$28)*$C$17*설정!$B$57),($B$17*$C$17*$H$17)+((H$28)*$B$17*설정!$B$57)*MAX(1,ROUNDUP(($B$17*$C$17*$H$17)/설정!$B$61,0))+((H$28)*$C$17*설정!$B$57))</f>
        <v>776273920</v>
      </c>
      <c r="I69" s="2"/>
    </row>
    <row r="70" customFormat="false" ht="17.15" hidden="false" customHeight="false" outlineLevel="0" collapsed="false">
      <c r="A70" s="30" t="s">
        <v>319</v>
      </c>
      <c r="B70" s="68" t="n">
        <f aca="false">MAX(B68/$I$17,B69/설정!$B$60)*1000</f>
        <v>0.648934901960784</v>
      </c>
      <c r="C70" s="68" t="n">
        <f aca="false">MAX(C68/$I$17,C69/설정!$B$60)*1000</f>
        <v>0.880238431372549</v>
      </c>
      <c r="D70" s="68" t="n">
        <f aca="false">MAX(D68/$I$17,D69/설정!$B$60)*1000</f>
        <v>1.34284549019608</v>
      </c>
      <c r="E70" s="68" t="n">
        <f aca="false">MAX(E68/$I$17,E69/설정!$B$60)*1000</f>
        <v>2.26805960784314</v>
      </c>
      <c r="F70" s="68" t="n">
        <f aca="false">MAX(F68/$I$17,F69/설정!$B$60)*1000</f>
        <v>4.11848784313726</v>
      </c>
      <c r="G70" s="68" t="n">
        <f aca="false">MAX(G68/$I$17,G69/설정!$B$60)*1000</f>
        <v>7.81934431372549</v>
      </c>
      <c r="H70" s="68" t="n">
        <f aca="false">MAX(H68/$I$17,H69/설정!$B$60)*1000</f>
        <v>15.221057254902</v>
      </c>
      <c r="I70" s="2"/>
    </row>
    <row r="71" customFormat="false" ht="17.15" hidden="false" customHeight="false" outlineLevel="0" collapsed="false">
      <c r="A71" s="30" t="s">
        <v>320</v>
      </c>
      <c r="B71" s="67" t="n">
        <f aca="false">($D$18)*2*(B$28)*$B$18*$C$18</f>
        <v>10737418240</v>
      </c>
      <c r="C71" s="67" t="n">
        <f aca="false">($D$18)*2*(C$28)*$B$18*$C$18</f>
        <v>21474836480</v>
      </c>
      <c r="D71" s="67" t="n">
        <f aca="false">($D$18)*2*(D$28)*$B$18*$C$18</f>
        <v>42949672960</v>
      </c>
      <c r="E71" s="67" t="n">
        <f aca="false">($D$18)*2*(E$28)*$B$18*$C$18</f>
        <v>85899345920</v>
      </c>
      <c r="F71" s="67" t="n">
        <f aca="false">($D$18)*2*(F$28)*$B$18*$C$18</f>
        <v>171798691840</v>
      </c>
      <c r="G71" s="67" t="n">
        <f aca="false">($D$18)*2*(G$28)*$B$18*$C$18</f>
        <v>343597383680</v>
      </c>
      <c r="H71" s="67" t="n">
        <f aca="false">($D$18)*2*(H$28)*$B$18*$C$18</f>
        <v>687194767360</v>
      </c>
      <c r="I71" s="2"/>
    </row>
    <row r="72" customFormat="false" ht="17.15" hidden="false" customHeight="false" outlineLevel="0" collapsed="false">
      <c r="A72" s="30" t="s">
        <v>321</v>
      </c>
      <c r="B72" s="67" t="n">
        <f aca="false">($D$18)*MIN(($B$18*$C$18*$H$18)*MAX(1,ROUNDUP(((B$28)*$B$18*설정!$B$57)/설정!$B$61,0))+((B$28)*$B$18*설정!$B$57)+((B$28)*$C$18*설정!$B$57),($B$18*$C$18*$H$18)+((B$28)*$B$18*설정!$B$57)*MAX(1,ROUNDUP(($B$18*$C$18*$H$18)/설정!$B$61,0))+((B$28)*$C$18*설정!$B$57))</f>
        <v>34734080</v>
      </c>
      <c r="C72" s="67" t="n">
        <f aca="false">($D$18)*MIN(($B$18*$C$18*$H$18)*MAX(1,ROUNDUP(((C$28)*$B$18*설정!$B$57)/설정!$B$61,0))+((C$28)*$B$18*설정!$B$57)+((C$28)*$C$18*설정!$B$57),($B$18*$C$18*$H$18)+((C$28)*$B$18*설정!$B$57)*MAX(1,ROUNDUP(($B$18*$C$18*$H$18)/설정!$B$61,0))+((C$28)*$C$18*설정!$B$57))</f>
        <v>47841280</v>
      </c>
      <c r="D72" s="67" t="n">
        <f aca="false">($D$18)*MIN(($B$18*$C$18*$H$18)*MAX(1,ROUNDUP(((D$28)*$B$18*설정!$B$57)/설정!$B$61,0))+((D$28)*$B$18*설정!$B$57)+((D$28)*$C$18*설정!$B$57),($B$18*$C$18*$H$18)+((D$28)*$B$18*설정!$B$57)*MAX(1,ROUNDUP(($B$18*$C$18*$H$18)/설정!$B$61,0))+((D$28)*$C$18*설정!$B$57))</f>
        <v>74055680</v>
      </c>
      <c r="E72" s="67" t="n">
        <f aca="false">($D$18)*MIN(($B$18*$C$18*$H$18)*MAX(1,ROUNDUP(((E$28)*$B$18*설정!$B$57)/설정!$B$61,0))+((E$28)*$B$18*설정!$B$57)+((E$28)*$C$18*설정!$B$57),($B$18*$C$18*$H$18)+((E$28)*$B$18*설정!$B$57)*MAX(1,ROUNDUP(($B$18*$C$18*$H$18)/설정!$B$61,0))+((E$28)*$C$18*설정!$B$57))</f>
        <v>126484480</v>
      </c>
      <c r="F72" s="67" t="n">
        <f aca="false">($D$18)*MIN(($B$18*$C$18*$H$18)*MAX(1,ROUNDUP(((F$28)*$B$18*설정!$B$57)/설정!$B$61,0))+((F$28)*$B$18*설정!$B$57)+((F$28)*$C$18*설정!$B$57),($B$18*$C$18*$H$18)+((F$28)*$B$18*설정!$B$57)*MAX(1,ROUNDUP(($B$18*$C$18*$H$18)/설정!$B$61,0))+((F$28)*$C$18*설정!$B$57))</f>
        <v>231342080</v>
      </c>
      <c r="G72" s="67" t="n">
        <f aca="false">($D$18)*MIN(($B$18*$C$18*$H$18)*MAX(1,ROUNDUP(((G$28)*$B$18*설정!$B$57)/설정!$B$61,0))+((G$28)*$B$18*설정!$B$57)+((G$28)*$C$18*설정!$B$57),($B$18*$C$18*$H$18)+((G$28)*$B$18*설정!$B$57)*MAX(1,ROUNDUP(($B$18*$C$18*$H$18)/설정!$B$61,0))+((G$28)*$C$18*설정!$B$57))</f>
        <v>441057280</v>
      </c>
      <c r="H72" s="67" t="n">
        <f aca="false">($D$18)*MIN(($B$18*$C$18*$H$18)*MAX(1,ROUNDUP(((H$28)*$B$18*설정!$B$57)/설정!$B$61,0))+((H$28)*$B$18*설정!$B$57)+((H$28)*$C$18*설정!$B$57),($B$18*$C$18*$H$18)+((H$28)*$B$18*설정!$B$57)*MAX(1,ROUNDUP(($B$18*$C$18*$H$18)/설정!$B$61,0))+((H$28)*$C$18*설정!$B$57))</f>
        <v>860487680</v>
      </c>
      <c r="I72" s="2"/>
    </row>
    <row r="73" customFormat="false" ht="17.15" hidden="false" customHeight="false" outlineLevel="0" collapsed="false">
      <c r="A73" s="30" t="s">
        <v>322</v>
      </c>
      <c r="B73" s="68" t="n">
        <f aca="false">MAX(B71/$I$18,B72/설정!$B$60)*1000</f>
        <v>0.681060392156863</v>
      </c>
      <c r="C73" s="68" t="n">
        <f aca="false">MAX(C71/$I$18,C72/설정!$B$60)*1000</f>
        <v>0.93806431372549</v>
      </c>
      <c r="D73" s="68" t="n">
        <f aca="false">MAX(D71/$I$18,D72/설정!$B$60)*1000</f>
        <v>1.78956970666667</v>
      </c>
      <c r="E73" s="68" t="n">
        <f aca="false">MAX(E71/$I$18,E72/설정!$B$60)*1000</f>
        <v>3.57913941333333</v>
      </c>
      <c r="F73" s="68" t="n">
        <f aca="false">MAX(F71/$I$18,F72/설정!$B$60)*1000</f>
        <v>7.15827882666667</v>
      </c>
      <c r="G73" s="68" t="n">
        <f aca="false">MAX(G71/$I$18,G72/설정!$B$60)*1000</f>
        <v>14.3165576533333</v>
      </c>
      <c r="H73" s="68" t="n">
        <f aca="false">MAX(H71/$I$18,H72/설정!$B$60)*1000</f>
        <v>28.6331153066667</v>
      </c>
      <c r="I73" s="2"/>
    </row>
    <row r="74" customFormat="false" ht="17.15" hidden="false" customHeight="false" outlineLevel="0" collapsed="false">
      <c r="A74" s="30" t="s">
        <v>323</v>
      </c>
      <c r="B74" s="67" t="n">
        <f aca="false">($D$19)*2*(B$28)*$B$19*$C$19</f>
        <v>10737418240</v>
      </c>
      <c r="C74" s="67" t="n">
        <f aca="false">($D$19)*2*(C$28)*$B$19*$C$19</f>
        <v>21474836480</v>
      </c>
      <c r="D74" s="67" t="n">
        <f aca="false">($D$19)*2*(D$28)*$B$19*$C$19</f>
        <v>42949672960</v>
      </c>
      <c r="E74" s="67" t="n">
        <f aca="false">($D$19)*2*(E$28)*$B$19*$C$19</f>
        <v>85899345920</v>
      </c>
      <c r="F74" s="67" t="n">
        <f aca="false">($D$19)*2*(F$28)*$B$19*$C$19</f>
        <v>171798691840</v>
      </c>
      <c r="G74" s="67" t="n">
        <f aca="false">($D$19)*2*(G$28)*$B$19*$C$19</f>
        <v>343597383680</v>
      </c>
      <c r="H74" s="67" t="n">
        <f aca="false">($D$19)*2*(H$28)*$B$19*$C$19</f>
        <v>687194767360</v>
      </c>
      <c r="I74" s="2"/>
    </row>
    <row r="75" customFormat="false" ht="17.15" hidden="false" customHeight="false" outlineLevel="0" collapsed="false">
      <c r="A75" s="30" t="s">
        <v>324</v>
      </c>
      <c r="B75" s="67" t="n">
        <f aca="false">($D$19)*MIN(($B$19*$C$19*$H$19)*MAX(1,ROUNDUP(((B$28)*$B$19*설정!$B$57)/설정!$B$61,0))+((B$28)*$B$19*설정!$B$57)+((B$28)*$C$19*설정!$B$57),($B$19*$C$19*$H$19)+((B$28)*$B$19*설정!$B$57)*MAX(1,ROUNDUP(($B$19*$C$19*$H$19)/설정!$B$61,0))+((B$28)*$C$19*설정!$B$57))</f>
        <v>34734080</v>
      </c>
      <c r="C75" s="67" t="n">
        <f aca="false">($D$19)*MIN(($B$19*$C$19*$H$19)*MAX(1,ROUNDUP(((C$28)*$B$19*설정!$B$57)/설정!$B$61,0))+((C$28)*$B$19*설정!$B$57)+((C$28)*$C$19*설정!$B$57),($B$19*$C$19*$H$19)+((C$28)*$B$19*설정!$B$57)*MAX(1,ROUNDUP(($B$19*$C$19*$H$19)/설정!$B$61,0))+((C$28)*$C$19*설정!$B$57))</f>
        <v>47841280</v>
      </c>
      <c r="D75" s="67" t="n">
        <f aca="false">($D$19)*MIN(($B$19*$C$19*$H$19)*MAX(1,ROUNDUP(((D$28)*$B$19*설정!$B$57)/설정!$B$61,0))+((D$28)*$B$19*설정!$B$57)+((D$28)*$C$19*설정!$B$57),($B$19*$C$19*$H$19)+((D$28)*$B$19*설정!$B$57)*MAX(1,ROUNDUP(($B$19*$C$19*$H$19)/설정!$B$61,0))+((D$28)*$C$19*설정!$B$57))</f>
        <v>74055680</v>
      </c>
      <c r="E75" s="67" t="n">
        <f aca="false">($D$19)*MIN(($B$19*$C$19*$H$19)*MAX(1,ROUNDUP(((E$28)*$B$19*설정!$B$57)/설정!$B$61,0))+((E$28)*$B$19*설정!$B$57)+((E$28)*$C$19*설정!$B$57),($B$19*$C$19*$H$19)+((E$28)*$B$19*설정!$B$57)*MAX(1,ROUNDUP(($B$19*$C$19*$H$19)/설정!$B$61,0))+((E$28)*$C$19*설정!$B$57))</f>
        <v>126484480</v>
      </c>
      <c r="F75" s="67" t="n">
        <f aca="false">($D$19)*MIN(($B$19*$C$19*$H$19)*MAX(1,ROUNDUP(((F$28)*$B$19*설정!$B$57)/설정!$B$61,0))+((F$28)*$B$19*설정!$B$57)+((F$28)*$C$19*설정!$B$57),($B$19*$C$19*$H$19)+((F$28)*$B$19*설정!$B$57)*MAX(1,ROUNDUP(($B$19*$C$19*$H$19)/설정!$B$61,0))+((F$28)*$C$19*설정!$B$57))</f>
        <v>231342080</v>
      </c>
      <c r="G75" s="67" t="n">
        <f aca="false">($D$19)*MIN(($B$19*$C$19*$H$19)*MAX(1,ROUNDUP(((G$28)*$B$19*설정!$B$57)/설정!$B$61,0))+((G$28)*$B$19*설정!$B$57)+((G$28)*$C$19*설정!$B$57),($B$19*$C$19*$H$19)+((G$28)*$B$19*설정!$B$57)*MAX(1,ROUNDUP(($B$19*$C$19*$H$19)/설정!$B$61,0))+((G$28)*$C$19*설정!$B$57))</f>
        <v>441057280</v>
      </c>
      <c r="H75" s="67" t="n">
        <f aca="false">($D$19)*MIN(($B$19*$C$19*$H$19)*MAX(1,ROUNDUP(((H$28)*$B$19*설정!$B$57)/설정!$B$61,0))+((H$28)*$B$19*설정!$B$57)+((H$28)*$C$19*설정!$B$57),($B$19*$C$19*$H$19)+((H$28)*$B$19*설정!$B$57)*MAX(1,ROUNDUP(($B$19*$C$19*$H$19)/설정!$B$61,0))+((H$28)*$C$19*설정!$B$57))</f>
        <v>860487680</v>
      </c>
      <c r="I75" s="2"/>
    </row>
    <row r="76" customFormat="false" ht="17.15" hidden="false" customHeight="false" outlineLevel="0" collapsed="false">
      <c r="A76" s="30" t="s">
        <v>325</v>
      </c>
      <c r="B76" s="68" t="n">
        <f aca="false">MAX(B74/$I$19,B75/설정!$B$60)*1000</f>
        <v>0.681060392156863</v>
      </c>
      <c r="C76" s="68" t="n">
        <f aca="false">MAX(C74/$I$19,C75/설정!$B$60)*1000</f>
        <v>0.93806431372549</v>
      </c>
      <c r="D76" s="68" t="n">
        <f aca="false">MAX(D74/$I$19,D75/설정!$B$60)*1000</f>
        <v>1.78956970666667</v>
      </c>
      <c r="E76" s="68" t="n">
        <f aca="false">MAX(E74/$I$19,E75/설정!$B$60)*1000</f>
        <v>3.57913941333333</v>
      </c>
      <c r="F76" s="68" t="n">
        <f aca="false">MAX(F74/$I$19,F75/설정!$B$60)*1000</f>
        <v>7.15827882666667</v>
      </c>
      <c r="G76" s="68" t="n">
        <f aca="false">MAX(G74/$I$19,G75/설정!$B$60)*1000</f>
        <v>14.3165576533333</v>
      </c>
      <c r="H76" s="68" t="n">
        <f aca="false">MAX(H74/$I$19,H75/설정!$B$60)*1000</f>
        <v>28.6331153066667</v>
      </c>
      <c r="I76" s="2"/>
    </row>
    <row r="77" customFormat="false" ht="17.15" hidden="false" customHeight="false" outlineLevel="0" collapsed="false">
      <c r="A77" s="30" t="s">
        <v>326</v>
      </c>
      <c r="B77" s="67" t="n">
        <f aca="false">($D$20)*2*(B$28)*$B$20*$C$20</f>
        <v>10737418240</v>
      </c>
      <c r="C77" s="67" t="n">
        <f aca="false">($D$20)*2*(C$28)*$B$20*$C$20</f>
        <v>21474836480</v>
      </c>
      <c r="D77" s="67" t="n">
        <f aca="false">($D$20)*2*(D$28)*$B$20*$C$20</f>
        <v>42949672960</v>
      </c>
      <c r="E77" s="67" t="n">
        <f aca="false">($D$20)*2*(E$28)*$B$20*$C$20</f>
        <v>85899345920</v>
      </c>
      <c r="F77" s="67" t="n">
        <f aca="false">($D$20)*2*(F$28)*$B$20*$C$20</f>
        <v>171798691840</v>
      </c>
      <c r="G77" s="67" t="n">
        <f aca="false">($D$20)*2*(G$28)*$B$20*$C$20</f>
        <v>343597383680</v>
      </c>
      <c r="H77" s="67" t="n">
        <f aca="false">($D$20)*2*(H$28)*$B$20*$C$20</f>
        <v>687194767360</v>
      </c>
      <c r="I77" s="2"/>
    </row>
    <row r="78" customFormat="false" ht="17.15" hidden="false" customHeight="false" outlineLevel="0" collapsed="false">
      <c r="A78" s="30" t="s">
        <v>327</v>
      </c>
      <c r="B78" s="67" t="n">
        <f aca="false">($D$20)*MIN(($B$20*$C$20*$H$20)*MAX(1,ROUNDUP(((B$28)*$B$20*설정!$B$57)/설정!$B$61,0))+((B$28)*$B$20*설정!$B$57)+((B$28)*$C$20*설정!$B$57),($B$20*$C$20*$H$20)+((B$28)*$B$20*설정!$B$57)*MAX(1,ROUNDUP(($B$20*$C$20*$H$20)/설정!$B$61,0))+((B$28)*$C$20*설정!$B$57))</f>
        <v>34734080</v>
      </c>
      <c r="C78" s="67" t="n">
        <f aca="false">($D$20)*MIN(($B$20*$C$20*$H$20)*MAX(1,ROUNDUP(((C$28)*$B$20*설정!$B$57)/설정!$B$61,0))+((C$28)*$B$20*설정!$B$57)+((C$28)*$C$20*설정!$B$57),($B$20*$C$20*$H$20)+((C$28)*$B$20*설정!$B$57)*MAX(1,ROUNDUP(($B$20*$C$20*$H$20)/설정!$B$61,0))+((C$28)*$C$20*설정!$B$57))</f>
        <v>47841280</v>
      </c>
      <c r="D78" s="67" t="n">
        <f aca="false">($D$20)*MIN(($B$20*$C$20*$H$20)*MAX(1,ROUNDUP(((D$28)*$B$20*설정!$B$57)/설정!$B$61,0))+((D$28)*$B$20*설정!$B$57)+((D$28)*$C$20*설정!$B$57),($B$20*$C$20*$H$20)+((D$28)*$B$20*설정!$B$57)*MAX(1,ROUNDUP(($B$20*$C$20*$H$20)/설정!$B$61,0))+((D$28)*$C$20*설정!$B$57))</f>
        <v>74055680</v>
      </c>
      <c r="E78" s="67" t="n">
        <f aca="false">($D$20)*MIN(($B$20*$C$20*$H$20)*MAX(1,ROUNDUP(((E$28)*$B$20*설정!$B$57)/설정!$B$61,0))+((E$28)*$B$20*설정!$B$57)+((E$28)*$C$20*설정!$B$57),($B$20*$C$20*$H$20)+((E$28)*$B$20*설정!$B$57)*MAX(1,ROUNDUP(($B$20*$C$20*$H$20)/설정!$B$61,0))+((E$28)*$C$20*설정!$B$57))</f>
        <v>126484480</v>
      </c>
      <c r="F78" s="67" t="n">
        <f aca="false">($D$20)*MIN(($B$20*$C$20*$H$20)*MAX(1,ROUNDUP(((F$28)*$B$20*설정!$B$57)/설정!$B$61,0))+((F$28)*$B$20*설정!$B$57)+((F$28)*$C$20*설정!$B$57),($B$20*$C$20*$H$20)+((F$28)*$B$20*설정!$B$57)*MAX(1,ROUNDUP(($B$20*$C$20*$H$20)/설정!$B$61,0))+((F$28)*$C$20*설정!$B$57))</f>
        <v>231342080</v>
      </c>
      <c r="G78" s="67" t="n">
        <f aca="false">($D$20)*MIN(($B$20*$C$20*$H$20)*MAX(1,ROUNDUP(((G$28)*$B$20*설정!$B$57)/설정!$B$61,0))+((G$28)*$B$20*설정!$B$57)+((G$28)*$C$20*설정!$B$57),($B$20*$C$20*$H$20)+((G$28)*$B$20*설정!$B$57)*MAX(1,ROUNDUP(($B$20*$C$20*$H$20)/설정!$B$61,0))+((G$28)*$C$20*설정!$B$57))</f>
        <v>441057280</v>
      </c>
      <c r="H78" s="67" t="n">
        <f aca="false">($D$20)*MIN(($B$20*$C$20*$H$20)*MAX(1,ROUNDUP(((H$28)*$B$20*설정!$B$57)/설정!$B$61,0))+((H$28)*$B$20*설정!$B$57)+((H$28)*$C$20*설정!$B$57),($B$20*$C$20*$H$20)+((H$28)*$B$20*설정!$B$57)*MAX(1,ROUNDUP(($B$20*$C$20*$H$20)/설정!$B$61,0))+((H$28)*$C$20*설정!$B$57))</f>
        <v>860487680</v>
      </c>
      <c r="I78" s="2"/>
    </row>
    <row r="79" customFormat="false" ht="17.15" hidden="false" customHeight="false" outlineLevel="0" collapsed="false">
      <c r="A79" s="30" t="s">
        <v>328</v>
      </c>
      <c r="B79" s="68" t="n">
        <f aca="false">MAX(B77/$I$20,B78/설정!$B$60)*1000</f>
        <v>0.681060392156863</v>
      </c>
      <c r="C79" s="68" t="n">
        <f aca="false">MAX(C77/$I$20,C78/설정!$B$60)*1000</f>
        <v>0.93806431372549</v>
      </c>
      <c r="D79" s="68" t="n">
        <f aca="false">MAX(D77/$I$20,D78/설정!$B$60)*1000</f>
        <v>1.78956970666667</v>
      </c>
      <c r="E79" s="68" t="n">
        <f aca="false">MAX(E77/$I$20,E78/설정!$B$60)*1000</f>
        <v>3.57913941333333</v>
      </c>
      <c r="F79" s="68" t="n">
        <f aca="false">MAX(F77/$I$20,F78/설정!$B$60)*1000</f>
        <v>7.15827882666667</v>
      </c>
      <c r="G79" s="68" t="n">
        <f aca="false">MAX(G77/$I$20,G78/설정!$B$60)*1000</f>
        <v>14.3165576533333</v>
      </c>
      <c r="H79" s="68" t="n">
        <f aca="false">MAX(H77/$I$20,H78/설정!$B$60)*1000</f>
        <v>28.6331153066667</v>
      </c>
      <c r="I79" s="2"/>
    </row>
    <row r="80" customFormat="false" ht="17.15" hidden="false" customHeight="false" outlineLevel="0" collapsed="false">
      <c r="A80" s="30" t="s">
        <v>329</v>
      </c>
      <c r="B80" s="67" t="n">
        <f aca="false">($D$21*B$29)*2*(B$31)*$B$21*$C$21</f>
        <v>85899345920</v>
      </c>
      <c r="C80" s="67" t="n">
        <f aca="false">($D$21*C$29)*2*(C$31)*$B$21*$C$21</f>
        <v>171798691840</v>
      </c>
      <c r="D80" s="67" t="n">
        <f aca="false">($D$21*D$29)*2*(D$31)*$B$21*$C$21</f>
        <v>343597383680</v>
      </c>
      <c r="E80" s="67" t="n">
        <f aca="false">($D$21*E$29)*2*(E$31)*$B$21*$C$21</f>
        <v>687194767360</v>
      </c>
      <c r="F80" s="67" t="n">
        <f aca="false">($D$21*F$29)*2*(F$31)*$B$21*$C$21</f>
        <v>1374389534720</v>
      </c>
      <c r="G80" s="67" t="n">
        <f aca="false">($D$21*G$29)*2*(G$31)*$B$21*$C$21</f>
        <v>2748779069440</v>
      </c>
      <c r="H80" s="67" t="n">
        <f aca="false">($D$21*H$29)*2*(H$31)*$B$21*$C$21</f>
        <v>5497558138880</v>
      </c>
      <c r="I80" s="2"/>
    </row>
    <row r="81" customFormat="false" ht="17.15" hidden="false" customHeight="false" outlineLevel="0" collapsed="false">
      <c r="A81" s="30" t="s">
        <v>330</v>
      </c>
      <c r="B81" s="67" t="n">
        <f aca="false">($D$21*B$29)*MIN(($B$21*$C$21*$H$21)*MAX(1,ROUNDUP(((B$31)*$B$21*설정!$B$57)/설정!$B$61,0))+((B$31)*$B$21*설정!$B$57)+((B$31)*$C$21*설정!$B$57),($B$21*$C$21*$H$21)+((B$31)*$B$21*설정!$B$57)*MAX(1,ROUNDUP(($B$21*$C$21*$H$21)/설정!$B$61,0))+((B$31)*$C$21*설정!$B$57))</f>
        <v>5546205391.66637</v>
      </c>
      <c r="C81" s="67" t="n">
        <f aca="false">($D$21*C$29)*MIN(($B$21*$C$21*$H$21)*MAX(1,ROUNDUP(((C$31)*$B$21*설정!$B$57)/설정!$B$61,0))+((C$31)*$B$21*설정!$B$57)+((C$31)*$C$21*설정!$B$57),($B$21*$C$21*$H$21)+((C$31)*$B$21*설정!$B$57)*MAX(1,ROUNDUP(($B$21*$C$21*$H$21)/설정!$B$61,0))+((C$31)*$C$21*설정!$B$57))</f>
        <v>5744561799.02759</v>
      </c>
      <c r="D81" s="67" t="n">
        <f aca="false">($D$21*D$29)*MIN(($B$21*$C$21*$H$21)*MAX(1,ROUNDUP(((D$31)*$B$21*설정!$B$57)/설정!$B$61,0))+((D$31)*$B$21*설정!$B$57)+((D$31)*$C$21*설정!$B$57),($B$21*$C$21*$H$21)+((D$31)*$B$21*설정!$B$57)*MAX(1,ROUNDUP(($B$21*$C$21*$H$21)/설정!$B$61,0))+((D$31)*$C$21*설정!$B$57))</f>
        <v>5955911197.35015</v>
      </c>
      <c r="E81" s="67" t="n">
        <f aca="false">($D$21*E$29)*MIN(($B$21*$C$21*$H$21)*MAX(1,ROUNDUP(((E$31)*$B$21*설정!$B$57)/설정!$B$61,0))+((E$31)*$B$21*설정!$B$57)+((E$31)*$C$21*설정!$B$57),($B$21*$C$21*$H$21)+((E$31)*$B$21*설정!$B$57)*MAX(1,ROUNDUP(($B$21*$C$21*$H$21)/설정!$B$61,0))+((E$31)*$C$21*설정!$B$57))</f>
        <v>6375342079.99996</v>
      </c>
      <c r="F81" s="67" t="n">
        <f aca="false">($D$21*F$29)*MIN(($B$21*$C$21*$H$21)*MAX(1,ROUNDUP(((F$31)*$B$21*설정!$B$57)/설정!$B$61,0))+((F$31)*$B$21*설정!$B$57)+((F$31)*$C$21*설정!$B$57),($B$21*$C$21*$H$21)+((F$31)*$B$21*설정!$B$57)*MAX(1,ROUNDUP(($B$21*$C$21*$H$21)/설정!$B$61,0))+((F$31)*$C$21*설정!$B$57))</f>
        <v>7214202880</v>
      </c>
      <c r="G81" s="67" t="n">
        <f aca="false">($D$21*G$29)*MIN(($B$21*$C$21*$H$21)*MAX(1,ROUNDUP(((G$31)*$B$21*설정!$B$57)/설정!$B$61,0))+((G$31)*$B$21*설정!$B$57)+((G$31)*$C$21*설정!$B$57),($B$21*$C$21*$H$21)+((G$31)*$B$21*설정!$B$57)*MAX(1,ROUNDUP(($B$21*$C$21*$H$21)/설정!$B$61,0))+((G$31)*$C$21*설정!$B$57))</f>
        <v>8891924480</v>
      </c>
      <c r="H81" s="67" t="n">
        <f aca="false">($D$21*H$29)*MIN(($B$21*$C$21*$H$21)*MAX(1,ROUNDUP(((H$31)*$B$21*설정!$B$57)/설정!$B$61,0))+((H$31)*$B$21*설정!$B$57)+((H$31)*$C$21*설정!$B$57),($B$21*$C$21*$H$21)+((H$31)*$B$21*설정!$B$57)*MAX(1,ROUNDUP(($B$21*$C$21*$H$21)/설정!$B$61,0))+((H$31)*$C$21*설정!$B$57))</f>
        <v>12247367680</v>
      </c>
      <c r="I81" s="2"/>
    </row>
    <row r="82" customFormat="false" ht="17.15" hidden="false" customHeight="false" outlineLevel="0" collapsed="false">
      <c r="A82" s="30" t="s">
        <v>331</v>
      </c>
      <c r="B82" s="68" t="n">
        <f aca="false">MAX(B80/$I$21,B81/설정!$B$60)*1000</f>
        <v>108.749125326792</v>
      </c>
      <c r="C82" s="68" t="n">
        <f aca="false">MAX(C80/$I$21,C81/설정!$B$60)*1000</f>
        <v>112.6384666476</v>
      </c>
      <c r="D82" s="68" t="n">
        <f aca="false">MAX(D80/$I$21,D81/설정!$B$60)*1000</f>
        <v>116.782572497062</v>
      </c>
      <c r="E82" s="68" t="n">
        <f aca="false">MAX(E80/$I$21,E81/설정!$B$60)*1000</f>
        <v>125.00670745098</v>
      </c>
      <c r="F82" s="68" t="n">
        <f aca="false">MAX(F80/$I$21,F81/설정!$B$60)*1000</f>
        <v>141.454958431373</v>
      </c>
      <c r="G82" s="68" t="n">
        <f aca="false">MAX(G80/$I$21,G81/설정!$B$60)*1000</f>
        <v>174.351460392157</v>
      </c>
      <c r="H82" s="68" t="n">
        <f aca="false">MAX(H80/$I$21,H81/설정!$B$60)*1000</f>
        <v>240.144464313725</v>
      </c>
      <c r="I82" s="2"/>
    </row>
    <row r="83" customFormat="false" ht="17.15" hidden="false" customHeight="false" outlineLevel="0" collapsed="false">
      <c r="A83" s="30" t="s">
        <v>332</v>
      </c>
      <c r="B83" s="67" t="n">
        <f aca="false">($D$22*B$29)*2*(B$31)*$B$22*$C$22</f>
        <v>85899345920</v>
      </c>
      <c r="C83" s="67" t="n">
        <f aca="false">($D$22*C$29)*2*(C$31)*$B$22*$C$22</f>
        <v>171798691840</v>
      </c>
      <c r="D83" s="67" t="n">
        <f aca="false">($D$22*D$29)*2*(D$31)*$B$22*$C$22</f>
        <v>343597383680</v>
      </c>
      <c r="E83" s="67" t="n">
        <f aca="false">($D$22*E$29)*2*(E$31)*$B$22*$C$22</f>
        <v>687194767360</v>
      </c>
      <c r="F83" s="67" t="n">
        <f aca="false">($D$22*F$29)*2*(F$31)*$B$22*$C$22</f>
        <v>1374389534720</v>
      </c>
      <c r="G83" s="67" t="n">
        <f aca="false">($D$22*G$29)*2*(G$31)*$B$22*$C$22</f>
        <v>2748779069440</v>
      </c>
      <c r="H83" s="67" t="n">
        <f aca="false">($D$22*H$29)*2*(H$31)*$B$22*$C$22</f>
        <v>5497558138880</v>
      </c>
      <c r="I83" s="2"/>
    </row>
    <row r="84" customFormat="false" ht="17.15" hidden="false" customHeight="false" outlineLevel="0" collapsed="false">
      <c r="A84" s="30" t="s">
        <v>333</v>
      </c>
      <c r="B84" s="67" t="n">
        <f aca="false">($D$22*B$29)*MIN(($B$22*$C$22*$H$22)*MAX(1,ROUNDUP(((B$31)*$B$22*설정!$B$57)/설정!$B$61,0))+((B$31)*$B$22*설정!$B$57)+((B$31)*$C$22*설정!$B$57),($B$22*$C$22*$H$22)+((B$31)*$B$22*설정!$B$57)*MAX(1,ROUNDUP(($B$22*$C$22*$H$22)/설정!$B$61,0))+((B$31)*$C$22*설정!$B$57))</f>
        <v>5546205391.66637</v>
      </c>
      <c r="C84" s="67" t="n">
        <f aca="false">($D$22*C$29)*MIN(($B$22*$C$22*$H$22)*MAX(1,ROUNDUP(((C$31)*$B$22*설정!$B$57)/설정!$B$61,0))+((C$31)*$B$22*설정!$B$57)+((C$31)*$C$22*설정!$B$57),($B$22*$C$22*$H$22)+((C$31)*$B$22*설정!$B$57)*MAX(1,ROUNDUP(($B$22*$C$22*$H$22)/설정!$B$61,0))+((C$31)*$C$22*설정!$B$57))</f>
        <v>5744561799.02759</v>
      </c>
      <c r="D84" s="67" t="n">
        <f aca="false">($D$22*D$29)*MIN(($B$22*$C$22*$H$22)*MAX(1,ROUNDUP(((D$31)*$B$22*설정!$B$57)/설정!$B$61,0))+((D$31)*$B$22*설정!$B$57)+((D$31)*$C$22*설정!$B$57),($B$22*$C$22*$H$22)+((D$31)*$B$22*설정!$B$57)*MAX(1,ROUNDUP(($B$22*$C$22*$H$22)/설정!$B$61,0))+((D$31)*$C$22*설정!$B$57))</f>
        <v>5955911197.35015</v>
      </c>
      <c r="E84" s="67" t="n">
        <f aca="false">($D$22*E$29)*MIN(($B$22*$C$22*$H$22)*MAX(1,ROUNDUP(((E$31)*$B$22*설정!$B$57)/설정!$B$61,0))+((E$31)*$B$22*설정!$B$57)+((E$31)*$C$22*설정!$B$57),($B$22*$C$22*$H$22)+((E$31)*$B$22*설정!$B$57)*MAX(1,ROUNDUP(($B$22*$C$22*$H$22)/설정!$B$61,0))+((E$31)*$C$22*설정!$B$57))</f>
        <v>6375342079.99996</v>
      </c>
      <c r="F84" s="67" t="n">
        <f aca="false">($D$22*F$29)*MIN(($B$22*$C$22*$H$22)*MAX(1,ROUNDUP(((F$31)*$B$22*설정!$B$57)/설정!$B$61,0))+((F$31)*$B$22*설정!$B$57)+((F$31)*$C$22*설정!$B$57),($B$22*$C$22*$H$22)+((F$31)*$B$22*설정!$B$57)*MAX(1,ROUNDUP(($B$22*$C$22*$H$22)/설정!$B$61,0))+((F$31)*$C$22*설정!$B$57))</f>
        <v>7214202880</v>
      </c>
      <c r="G84" s="67" t="n">
        <f aca="false">($D$22*G$29)*MIN(($B$22*$C$22*$H$22)*MAX(1,ROUNDUP(((G$31)*$B$22*설정!$B$57)/설정!$B$61,0))+((G$31)*$B$22*설정!$B$57)+((G$31)*$C$22*설정!$B$57),($B$22*$C$22*$H$22)+((G$31)*$B$22*설정!$B$57)*MAX(1,ROUNDUP(($B$22*$C$22*$H$22)/설정!$B$61,0))+((G$31)*$C$22*설정!$B$57))</f>
        <v>8891924480</v>
      </c>
      <c r="H84" s="67" t="n">
        <f aca="false">($D$22*H$29)*MIN(($B$22*$C$22*$H$22)*MAX(1,ROUNDUP(((H$31)*$B$22*설정!$B$57)/설정!$B$61,0))+((H$31)*$B$22*설정!$B$57)+((H$31)*$C$22*설정!$B$57),($B$22*$C$22*$H$22)+((H$31)*$B$22*설정!$B$57)*MAX(1,ROUNDUP(($B$22*$C$22*$H$22)/설정!$B$61,0))+((H$31)*$C$22*설정!$B$57))</f>
        <v>12247367680</v>
      </c>
      <c r="I84" s="2"/>
    </row>
    <row r="85" customFormat="false" ht="17.15" hidden="false" customHeight="false" outlineLevel="0" collapsed="false">
      <c r="A85" s="30" t="s">
        <v>334</v>
      </c>
      <c r="B85" s="68" t="n">
        <f aca="false">MAX(B83/$I$22,B84/설정!$B$60)*1000</f>
        <v>108.749125326792</v>
      </c>
      <c r="C85" s="68" t="n">
        <f aca="false">MAX(C83/$I$22,C84/설정!$B$60)*1000</f>
        <v>112.6384666476</v>
      </c>
      <c r="D85" s="68" t="n">
        <f aca="false">MAX(D83/$I$22,D84/설정!$B$60)*1000</f>
        <v>116.782572497062</v>
      </c>
      <c r="E85" s="68" t="n">
        <f aca="false">MAX(E83/$I$22,E84/설정!$B$60)*1000</f>
        <v>125.00670745098</v>
      </c>
      <c r="F85" s="68" t="n">
        <f aca="false">MAX(F83/$I$22,F84/설정!$B$60)*1000</f>
        <v>141.454958431373</v>
      </c>
      <c r="G85" s="68" t="n">
        <f aca="false">MAX(G83/$I$22,G84/설정!$B$60)*1000</f>
        <v>174.351460392157</v>
      </c>
      <c r="H85" s="68" t="n">
        <f aca="false">MAX(H83/$I$22,H84/설정!$B$60)*1000</f>
        <v>240.144464313725</v>
      </c>
      <c r="I85" s="2"/>
    </row>
    <row r="86" customFormat="false" ht="17.15" hidden="false" customHeight="false" outlineLevel="0" collapsed="false">
      <c r="A86" s="30" t="s">
        <v>335</v>
      </c>
      <c r="B86" s="67" t="n">
        <f aca="false">($D$23*B$29)*2*(B$31)*$B$23*$C$23</f>
        <v>85899345920</v>
      </c>
      <c r="C86" s="67" t="n">
        <f aca="false">($D$23*C$29)*2*(C$31)*$B$23*$C$23</f>
        <v>171798691840</v>
      </c>
      <c r="D86" s="67" t="n">
        <f aca="false">($D$23*D$29)*2*(D$31)*$B$23*$C$23</f>
        <v>343597383680</v>
      </c>
      <c r="E86" s="67" t="n">
        <f aca="false">($D$23*E$29)*2*(E$31)*$B$23*$C$23</f>
        <v>687194767360</v>
      </c>
      <c r="F86" s="67" t="n">
        <f aca="false">($D$23*F$29)*2*(F$31)*$B$23*$C$23</f>
        <v>1374389534720</v>
      </c>
      <c r="G86" s="67" t="n">
        <f aca="false">($D$23*G$29)*2*(G$31)*$B$23*$C$23</f>
        <v>2748779069440</v>
      </c>
      <c r="H86" s="67" t="n">
        <f aca="false">($D$23*H$29)*2*(H$31)*$B$23*$C$23</f>
        <v>5497558138880</v>
      </c>
      <c r="I86" s="2"/>
    </row>
    <row r="87" customFormat="false" ht="17.15" hidden="false" customHeight="false" outlineLevel="0" collapsed="false">
      <c r="A87" s="30" t="s">
        <v>336</v>
      </c>
      <c r="B87" s="67" t="n">
        <f aca="false">($D$23*B$29)*MIN(($B$23*$C$23*$H$23)*MAX(1,ROUNDUP(((B$31)*$B$23*설정!$B$57)/설정!$B$61,0))+((B$31)*$B$23*설정!$B$57)+((B$31)*$C$23*설정!$B$57),($B$23*$C$23*$H$23)+((B$31)*$B$23*설정!$B$57)*MAX(1,ROUNDUP(($B$23*$C$23*$H$23)/설정!$B$61,0))+((B$31)*$C$23*설정!$B$57))</f>
        <v>5546205391.66637</v>
      </c>
      <c r="C87" s="67" t="n">
        <f aca="false">($D$23*C$29)*MIN(($B$23*$C$23*$H$23)*MAX(1,ROUNDUP(((C$31)*$B$23*설정!$B$57)/설정!$B$61,0))+((C$31)*$B$23*설정!$B$57)+((C$31)*$C$23*설정!$B$57),($B$23*$C$23*$H$23)+((C$31)*$B$23*설정!$B$57)*MAX(1,ROUNDUP(($B$23*$C$23*$H$23)/설정!$B$61,0))+((C$31)*$C$23*설정!$B$57))</f>
        <v>5744561799.02759</v>
      </c>
      <c r="D87" s="67" t="n">
        <f aca="false">($D$23*D$29)*MIN(($B$23*$C$23*$H$23)*MAX(1,ROUNDUP(((D$31)*$B$23*설정!$B$57)/설정!$B$61,0))+((D$31)*$B$23*설정!$B$57)+((D$31)*$C$23*설정!$B$57),($B$23*$C$23*$H$23)+((D$31)*$B$23*설정!$B$57)*MAX(1,ROUNDUP(($B$23*$C$23*$H$23)/설정!$B$61,0))+((D$31)*$C$23*설정!$B$57))</f>
        <v>5955911197.35015</v>
      </c>
      <c r="E87" s="67" t="n">
        <f aca="false">($D$23*E$29)*MIN(($B$23*$C$23*$H$23)*MAX(1,ROUNDUP(((E$31)*$B$23*설정!$B$57)/설정!$B$61,0))+((E$31)*$B$23*설정!$B$57)+((E$31)*$C$23*설정!$B$57),($B$23*$C$23*$H$23)+((E$31)*$B$23*설정!$B$57)*MAX(1,ROUNDUP(($B$23*$C$23*$H$23)/설정!$B$61,0))+((E$31)*$C$23*설정!$B$57))</f>
        <v>6375342079.99996</v>
      </c>
      <c r="F87" s="67" t="n">
        <f aca="false">($D$23*F$29)*MIN(($B$23*$C$23*$H$23)*MAX(1,ROUNDUP(((F$31)*$B$23*설정!$B$57)/설정!$B$61,0))+((F$31)*$B$23*설정!$B$57)+((F$31)*$C$23*설정!$B$57),($B$23*$C$23*$H$23)+((F$31)*$B$23*설정!$B$57)*MAX(1,ROUNDUP(($B$23*$C$23*$H$23)/설정!$B$61,0))+((F$31)*$C$23*설정!$B$57))</f>
        <v>7214202880</v>
      </c>
      <c r="G87" s="67" t="n">
        <f aca="false">($D$23*G$29)*MIN(($B$23*$C$23*$H$23)*MAX(1,ROUNDUP(((G$31)*$B$23*설정!$B$57)/설정!$B$61,0))+((G$31)*$B$23*설정!$B$57)+((G$31)*$C$23*설정!$B$57),($B$23*$C$23*$H$23)+((G$31)*$B$23*설정!$B$57)*MAX(1,ROUNDUP(($B$23*$C$23*$H$23)/설정!$B$61,0))+((G$31)*$C$23*설정!$B$57))</f>
        <v>8891924480</v>
      </c>
      <c r="H87" s="67" t="n">
        <f aca="false">($D$23*H$29)*MIN(($B$23*$C$23*$H$23)*MAX(1,ROUNDUP(((H$31)*$B$23*설정!$B$57)/설정!$B$61,0))+((H$31)*$B$23*설정!$B$57)+((H$31)*$C$23*설정!$B$57),($B$23*$C$23*$H$23)+((H$31)*$B$23*설정!$B$57)*MAX(1,ROUNDUP(($B$23*$C$23*$H$23)/설정!$B$61,0))+((H$31)*$C$23*설정!$B$57))</f>
        <v>12247367680</v>
      </c>
      <c r="I87" s="2"/>
    </row>
    <row r="88" customFormat="false" ht="17.15" hidden="false" customHeight="false" outlineLevel="0" collapsed="false">
      <c r="A88" s="30" t="s">
        <v>337</v>
      </c>
      <c r="B88" s="68" t="n">
        <f aca="false">MAX(B86/$I$23,B87/설정!$B$60)*1000</f>
        <v>108.749125326792</v>
      </c>
      <c r="C88" s="68" t="n">
        <f aca="false">MAX(C86/$I$23,C87/설정!$B$60)*1000</f>
        <v>112.6384666476</v>
      </c>
      <c r="D88" s="68" t="n">
        <f aca="false">MAX(D86/$I$23,D87/설정!$B$60)*1000</f>
        <v>116.782572497062</v>
      </c>
      <c r="E88" s="68" t="n">
        <f aca="false">MAX(E86/$I$23,E87/설정!$B$60)*1000</f>
        <v>125.00670745098</v>
      </c>
      <c r="F88" s="68" t="n">
        <f aca="false">MAX(F86/$I$23,F87/설정!$B$60)*1000</f>
        <v>141.454958431373</v>
      </c>
      <c r="G88" s="68" t="n">
        <f aca="false">MAX(G86/$I$23,G87/설정!$B$60)*1000</f>
        <v>174.351460392157</v>
      </c>
      <c r="H88" s="68" t="n">
        <f aca="false">MAX(H86/$I$23,H87/설정!$B$60)*1000</f>
        <v>240.144464313725</v>
      </c>
      <c r="I88" s="2"/>
    </row>
    <row r="89" customFormat="false" ht="17.15" hidden="false" customHeight="false" outlineLevel="0" collapsed="false">
      <c r="A89" s="30" t="s">
        <v>338</v>
      </c>
      <c r="B89" s="67" t="n">
        <f aca="false">($D$24)*2*(1)*$B$24*$C$24</f>
        <v>1017118720</v>
      </c>
      <c r="C89" s="67" t="n">
        <f aca="false">($D$24)*2*(1)*$B$24*$C$24</f>
        <v>1017118720</v>
      </c>
      <c r="D89" s="67" t="n">
        <f aca="false">($D$24)*2*(1)*$B$24*$C$24</f>
        <v>1017118720</v>
      </c>
      <c r="E89" s="67" t="n">
        <f aca="false">($D$24)*2*(1)*$B$24*$C$24</f>
        <v>1017118720</v>
      </c>
      <c r="F89" s="67" t="n">
        <f aca="false">($D$24)*2*(1)*$B$24*$C$24</f>
        <v>1017118720</v>
      </c>
      <c r="G89" s="67" t="n">
        <f aca="false">($D$24)*2*(1)*$B$24*$C$24</f>
        <v>1017118720</v>
      </c>
      <c r="H89" s="67" t="n">
        <f aca="false">($D$24)*2*(1)*$B$24*$C$24</f>
        <v>1017118720</v>
      </c>
      <c r="I89" s="2"/>
    </row>
    <row r="90" customFormat="false" ht="17.15" hidden="false" customHeight="false" outlineLevel="0" collapsed="false">
      <c r="A90" s="30" t="s">
        <v>339</v>
      </c>
      <c r="B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C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D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E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F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G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H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I90" s="2"/>
    </row>
    <row r="91" customFormat="false" ht="17.15" hidden="false" customHeight="false" outlineLevel="0" collapsed="false">
      <c r="A91" s="30" t="s">
        <v>340</v>
      </c>
      <c r="B91" s="68" t="n">
        <f aca="false">MAX(B89/$I$24,B90/설정!$B$60)*1000</f>
        <v>5.14659388235294</v>
      </c>
      <c r="C91" s="68" t="n">
        <f aca="false">MAX(C89/$I$24,C90/설정!$B$60)*1000</f>
        <v>5.14659388235294</v>
      </c>
      <c r="D91" s="68" t="n">
        <f aca="false">MAX(D89/$I$24,D90/설정!$B$60)*1000</f>
        <v>5.14659388235294</v>
      </c>
      <c r="E91" s="68" t="n">
        <f aca="false">MAX(E89/$I$24,E90/설정!$B$60)*1000</f>
        <v>5.14659388235294</v>
      </c>
      <c r="F91" s="68" t="n">
        <f aca="false">MAX(F89/$I$24,F90/설정!$B$60)*1000</f>
        <v>5.14659388235294</v>
      </c>
      <c r="G91" s="68" t="n">
        <f aca="false">MAX(G89/$I$24,G90/설정!$B$60)*1000</f>
        <v>5.14659388235294</v>
      </c>
      <c r="H91" s="68" t="n">
        <f aca="false">MAX(H89/$I$24,H90/설정!$B$60)*1000</f>
        <v>5.14659388235294</v>
      </c>
      <c r="I91" s="2"/>
    </row>
    <row r="92" customFormat="false" ht="17.15" hidden="false" customHeight="false" outlineLevel="0" collapsed="false">
      <c r="A92" s="30" t="s">
        <v>341</v>
      </c>
      <c r="B92" s="67" t="n">
        <f aca="false">B28*(B28+1)/2</f>
        <v>8256</v>
      </c>
      <c r="C92" s="67" t="n">
        <f aca="false">C28*(C28+1)/2</f>
        <v>32896</v>
      </c>
      <c r="D92" s="67" t="n">
        <f aca="false">D28*(D28+1)/2</f>
        <v>131328</v>
      </c>
      <c r="E92" s="67" t="n">
        <f aca="false">E28*(E28+1)/2</f>
        <v>524800</v>
      </c>
      <c r="F92" s="67" t="n">
        <f aca="false">F28*(F28+1)/2</f>
        <v>2098176</v>
      </c>
      <c r="G92" s="67" t="n">
        <f aca="false">G28*(G28+1)/2</f>
        <v>8390656</v>
      </c>
      <c r="H92" s="67" t="n">
        <f aca="false">H28*(H28+1)/2</f>
        <v>33558528</v>
      </c>
      <c r="I92" s="2"/>
    </row>
    <row r="93" customFormat="false" ht="17.15" hidden="false" customHeight="false" outlineLevel="0" collapsed="false">
      <c r="A93" s="30" t="s">
        <v>342</v>
      </c>
      <c r="B93" s="67" t="n">
        <f aca="false">모델!$D$12*4*모델!$D$13*모델!$D$15*B92</f>
        <v>1352663040</v>
      </c>
      <c r="C93" s="67" t="n">
        <f aca="false">모델!$D$12*4*모델!$D$13*모델!$D$15*C92</f>
        <v>5389680640</v>
      </c>
      <c r="D93" s="67" t="n">
        <f aca="false">모델!$D$12*4*모델!$D$13*모델!$D$15*D92</f>
        <v>21516779520</v>
      </c>
      <c r="E93" s="67" t="n">
        <f aca="false">모델!$D$12*4*모델!$D$13*모델!$D$15*E92</f>
        <v>85983232000</v>
      </c>
      <c r="F93" s="67" t="n">
        <f aca="false">모델!$D$12*4*모델!$D$13*모델!$D$15*F92</f>
        <v>343765155840</v>
      </c>
      <c r="G93" s="67" t="n">
        <f aca="false">모델!$D$12*4*모델!$D$13*모델!$D$15*G92</f>
        <v>1374725079040</v>
      </c>
      <c r="H93" s="67" t="n">
        <f aca="false">모델!$D$12*4*모델!$D$13*모델!$D$15*H92</f>
        <v>5498229227520</v>
      </c>
      <c r="I93" s="2"/>
    </row>
    <row r="94" customFormat="false" ht="17.15" hidden="false" customHeight="false" outlineLevel="0" collapsed="false">
      <c r="A94" s="30" t="s">
        <v>343</v>
      </c>
      <c r="B94" s="67" t="n">
        <f aca="false">모델!$D$12*(2*B28*모델!$D$13*모델!$D$15*설정!$B$57+B28*2*모델!$D$14*모델!$D$15*설정!$B$58*MAX(1,ROUNDUP(B28*(모델!$D$13/MAX(1,모델!$D$14))*모델!$D$15*설정!$B$57/설정!$B$61,0)))</f>
        <v>11796480</v>
      </c>
      <c r="C94" s="67" t="n">
        <f aca="false">모델!$D$12*(2*C28*모델!$D$13*모델!$D$15*설정!$B$57+C28*2*모델!$D$14*모델!$D$15*설정!$B$58*MAX(1,ROUNDUP(C28*(모델!$D$13/MAX(1,모델!$D$14))*모델!$D$15*설정!$B$57/설정!$B$61,0)))</f>
        <v>23592960</v>
      </c>
      <c r="D94" s="67" t="n">
        <f aca="false">모델!$D$12*(2*D28*모델!$D$13*모델!$D$15*설정!$B$57+D28*2*모델!$D$14*모델!$D$15*설정!$B$58*MAX(1,ROUNDUP(D28*(모델!$D$13/MAX(1,모델!$D$14))*모델!$D$15*설정!$B$57/설정!$B$61,0)))</f>
        <v>47185920</v>
      </c>
      <c r="E94" s="67" t="n">
        <f aca="false">모델!$D$12*(2*E28*모델!$D$13*모델!$D$15*설정!$B$57+E28*2*모델!$D$14*모델!$D$15*설정!$B$58*MAX(1,ROUNDUP(E28*(모델!$D$13/MAX(1,모델!$D$14))*모델!$D$15*설정!$B$57/설정!$B$61,0)))</f>
        <v>104857600</v>
      </c>
      <c r="F94" s="67" t="n">
        <f aca="false">모델!$D$12*(2*F28*모델!$D$13*모델!$D$15*설정!$B$57+F28*2*모델!$D$14*모델!$D$15*설정!$B$58*MAX(1,ROUNDUP(F28*(모델!$D$13/MAX(1,모델!$D$14))*모델!$D$15*설정!$B$57/설정!$B$61,0)))</f>
        <v>230686720</v>
      </c>
      <c r="G94" s="67" t="n">
        <f aca="false">모델!$D$12*(2*G28*모델!$D$13*모델!$D$15*설정!$B$57+G28*2*모델!$D$14*모델!$D$15*설정!$B$58*MAX(1,ROUNDUP(G28*(모델!$D$13/MAX(1,모델!$D$14))*모델!$D$15*설정!$B$57/설정!$B$61,0)))</f>
        <v>545259520</v>
      </c>
      <c r="H94" s="67" t="n">
        <f aca="false">모델!$D$12*(2*H28*모델!$D$13*모델!$D$15*설정!$B$57+H28*2*모델!$D$14*모델!$D$15*설정!$B$58*MAX(1,ROUNDUP(H28*(모델!$D$13/MAX(1,모델!$D$14))*모델!$D$15*설정!$B$57/설정!$B$61,0)))</f>
        <v>1509949440</v>
      </c>
      <c r="I94" s="2"/>
    </row>
    <row r="95" customFormat="false" ht="17.15" hidden="false" customHeight="false" outlineLevel="0" collapsed="false">
      <c r="A95" s="30" t="s">
        <v>344</v>
      </c>
      <c r="B95" s="68" t="n">
        <f aca="false">MAX(B93/설정!$B$68,B94/설정!$B$60)*1000</f>
        <v>0.231303529411765</v>
      </c>
      <c r="C95" s="68" t="n">
        <f aca="false">MAX(C93/설정!$B$68,C94/설정!$B$60)*1000</f>
        <v>0.462607058823529</v>
      </c>
      <c r="D95" s="68" t="n">
        <f aca="false">MAX(D93/설정!$B$68,D94/설정!$B$60)*1000</f>
        <v>0.925214117647059</v>
      </c>
      <c r="E95" s="68" t="n">
        <f aca="false">MAX(E93/설정!$B$68,E94/설정!$B$60)*1000</f>
        <v>3.58263466666667</v>
      </c>
      <c r="F95" s="68" t="n">
        <f aca="false">MAX(F93/설정!$B$68,F94/설정!$B$60)*1000</f>
        <v>14.32354816</v>
      </c>
      <c r="G95" s="68" t="n">
        <f aca="false">MAX(G93/설정!$B$68,G94/설정!$B$60)*1000</f>
        <v>57.2802116266667</v>
      </c>
      <c r="H95" s="68" t="n">
        <f aca="false">MAX(H93/설정!$B$68,H94/설정!$B$60)*1000</f>
        <v>229.09288448</v>
      </c>
      <c r="I95" s="2"/>
    </row>
    <row r="96" customFormat="false" ht="17.15" hidden="false" customHeight="false" outlineLevel="0" collapsed="false">
      <c r="A96" s="30" t="s">
        <v>345</v>
      </c>
      <c r="B96" s="67" t="n">
        <f aca="false">IF(B28&lt;=모델!$D$20,B28*(B28+1)/2,모델!$D$20*(모델!$D$20+1)/2+(B28-모델!$D$20)*모델!$D$20)</f>
        <v>0</v>
      </c>
      <c r="C96" s="67" t="n">
        <f aca="false">IF(C28&lt;=모델!$D$20,C28*(C28+1)/2,모델!$D$20*(모델!$D$20+1)/2+(C28-모델!$D$20)*모델!$D$20)</f>
        <v>0</v>
      </c>
      <c r="D96" s="67" t="n">
        <f aca="false">IF(D28&lt;=모델!$D$20,D28*(D28+1)/2,모델!$D$20*(모델!$D$20+1)/2+(D28-모델!$D$20)*모델!$D$20)</f>
        <v>0</v>
      </c>
      <c r="E96" s="67" t="n">
        <f aca="false">IF(E28&lt;=모델!$D$20,E28*(E28+1)/2,모델!$D$20*(모델!$D$20+1)/2+(E28-모델!$D$20)*모델!$D$20)</f>
        <v>0</v>
      </c>
      <c r="F96" s="67" t="n">
        <f aca="false">IF(F28&lt;=모델!$D$20,F28*(F28+1)/2,모델!$D$20*(모델!$D$20+1)/2+(F28-모델!$D$20)*모델!$D$20)</f>
        <v>0</v>
      </c>
      <c r="G96" s="67" t="n">
        <f aca="false">IF(G28&lt;=모델!$D$20,G28*(G28+1)/2,모델!$D$20*(모델!$D$20+1)/2+(G28-모델!$D$20)*모델!$D$20)</f>
        <v>0</v>
      </c>
      <c r="H96" s="67" t="n">
        <f aca="false">IF(H28&lt;=모델!$D$20,H28*(H28+1)/2,모델!$D$20*(모델!$D$20+1)/2+(H28-모델!$D$20)*모델!$D$20)</f>
        <v>0</v>
      </c>
      <c r="I96" s="2"/>
    </row>
    <row r="97" customFormat="false" ht="17.15" hidden="false" customHeight="false" outlineLevel="0" collapsed="false">
      <c r="A97" s="30" t="s">
        <v>346</v>
      </c>
      <c r="B97" s="67" t="n">
        <f aca="false">모델!$D$19*4*모델!$D$21*모델!$D$23*B96</f>
        <v>0</v>
      </c>
      <c r="C97" s="67" t="n">
        <f aca="false">모델!$D$19*4*모델!$D$21*모델!$D$23*C96</f>
        <v>0</v>
      </c>
      <c r="D97" s="67" t="n">
        <f aca="false">모델!$D$19*4*모델!$D$21*모델!$D$23*D96</f>
        <v>0</v>
      </c>
      <c r="E97" s="67" t="n">
        <f aca="false">모델!$D$19*4*모델!$D$21*모델!$D$23*E96</f>
        <v>0</v>
      </c>
      <c r="F97" s="67" t="n">
        <f aca="false">모델!$D$19*4*모델!$D$21*모델!$D$23*F96</f>
        <v>0</v>
      </c>
      <c r="G97" s="67" t="n">
        <f aca="false">모델!$D$19*4*모델!$D$21*모델!$D$23*G96</f>
        <v>0</v>
      </c>
      <c r="H97" s="67" t="n">
        <f aca="false">모델!$D$19*4*모델!$D$21*모델!$D$23*H96</f>
        <v>0</v>
      </c>
      <c r="I97" s="2"/>
    </row>
    <row r="98" customFormat="false" ht="17.15" hidden="false" customHeight="false" outlineLevel="0" collapsed="false">
      <c r="A98" s="30" t="s">
        <v>347</v>
      </c>
      <c r="B98" s="67" t="n">
        <f aca="false">모델!$D$19*(2*B28*모델!$D$21*모델!$D$23*설정!$B$57+B28*2*모델!$D$22*모델!$D$23*설정!$B$58*MAX(1,ROUNDUP(MIN(B28,모델!$D$20)*(모델!$D$21/MAX(1,모델!$D$22))*모델!$D$23*설정!$B$57/설정!$B$61,0)))</f>
        <v>0</v>
      </c>
      <c r="C98" s="67" t="n">
        <f aca="false">모델!$D$19*(2*C28*모델!$D$21*모델!$D$23*설정!$B$57+C28*2*모델!$D$22*모델!$D$23*설정!$B$58*MAX(1,ROUNDUP(MIN(C28,모델!$D$20)*(모델!$D$21/MAX(1,모델!$D$22))*모델!$D$23*설정!$B$57/설정!$B$61,0)))</f>
        <v>0</v>
      </c>
      <c r="D98" s="67" t="n">
        <f aca="false">모델!$D$19*(2*D28*모델!$D$21*모델!$D$23*설정!$B$57+D28*2*모델!$D$22*모델!$D$23*설정!$B$58*MAX(1,ROUNDUP(MIN(D28,모델!$D$20)*(모델!$D$21/MAX(1,모델!$D$22))*모델!$D$23*설정!$B$57/설정!$B$61,0)))</f>
        <v>0</v>
      </c>
      <c r="E98" s="67" t="n">
        <f aca="false">모델!$D$19*(2*E28*모델!$D$21*모델!$D$23*설정!$B$57+E28*2*모델!$D$22*모델!$D$23*설정!$B$58*MAX(1,ROUNDUP(MIN(E28,모델!$D$20)*(모델!$D$21/MAX(1,모델!$D$22))*모델!$D$23*설정!$B$57/설정!$B$61,0)))</f>
        <v>0</v>
      </c>
      <c r="F98" s="67" t="n">
        <f aca="false">모델!$D$19*(2*F28*모델!$D$21*모델!$D$23*설정!$B$57+F28*2*모델!$D$22*모델!$D$23*설정!$B$58*MAX(1,ROUNDUP(MIN(F28,모델!$D$20)*(모델!$D$21/MAX(1,모델!$D$22))*모델!$D$23*설정!$B$57/설정!$B$61,0)))</f>
        <v>0</v>
      </c>
      <c r="G98" s="67" t="n">
        <f aca="false">모델!$D$19*(2*G28*모델!$D$21*모델!$D$23*설정!$B$57+G28*2*모델!$D$22*모델!$D$23*설정!$B$58*MAX(1,ROUNDUP(MIN(G28,모델!$D$20)*(모델!$D$21/MAX(1,모델!$D$22))*모델!$D$23*설정!$B$57/설정!$B$61,0)))</f>
        <v>0</v>
      </c>
      <c r="H98" s="67" t="n">
        <f aca="false">모델!$D$19*(2*H28*모델!$D$21*모델!$D$23*설정!$B$57+H28*2*모델!$D$22*모델!$D$23*설정!$B$58*MAX(1,ROUNDUP(MIN(H28,모델!$D$20)*(모델!$D$21/MAX(1,모델!$D$22))*모델!$D$23*설정!$B$57/설정!$B$61,0)))</f>
        <v>0</v>
      </c>
      <c r="I98" s="2"/>
    </row>
    <row r="99" customFormat="false" ht="17.15" hidden="false" customHeight="false" outlineLevel="0" collapsed="false">
      <c r="A99" s="30" t="s">
        <v>348</v>
      </c>
      <c r="B99" s="68" t="n">
        <f aca="false">MAX(B97/설정!$B$68,B98/설정!$B$60)*1000</f>
        <v>0</v>
      </c>
      <c r="C99" s="68" t="n">
        <f aca="false">MAX(C97/설정!$B$68,C98/설정!$B$60)*1000</f>
        <v>0</v>
      </c>
      <c r="D99" s="68" t="n">
        <f aca="false">MAX(D97/설정!$B$68,D98/설정!$B$60)*1000</f>
        <v>0</v>
      </c>
      <c r="E99" s="68" t="n">
        <f aca="false">MAX(E97/설정!$B$68,E98/설정!$B$60)*1000</f>
        <v>0</v>
      </c>
      <c r="F99" s="68" t="n">
        <f aca="false">MAX(F97/설정!$B$68,F98/설정!$B$60)*1000</f>
        <v>0</v>
      </c>
      <c r="G99" s="68" t="n">
        <f aca="false">MAX(G97/설정!$B$68,G98/설정!$B$60)*1000</f>
        <v>0</v>
      </c>
      <c r="H99" s="68" t="n">
        <f aca="false">MAX(H97/설정!$B$68,H98/설정!$B$60)*1000</f>
        <v>0</v>
      </c>
      <c r="I99" s="2"/>
    </row>
    <row r="100" customFormat="false" ht="17.15" hidden="false" customHeight="false" outlineLevel="0" collapsed="false">
      <c r="A100" s="30" t="s">
        <v>349</v>
      </c>
      <c r="B100" s="69" t="n">
        <f aca="false">IF(모델!$D$26&gt;0,ROUNDUP(B28/MAX(1,모델!$D$32),0)*모델!$D$32,0)</f>
        <v>128</v>
      </c>
      <c r="C100" s="69" t="n">
        <f aca="false">IF(모델!$D$26&gt;0,ROUNDUP(C28/MAX(1,모델!$D$32),0)*모델!$D$32,0)</f>
        <v>256</v>
      </c>
      <c r="D100" s="69" t="n">
        <f aca="false">IF(모델!$D$26&gt;0,ROUNDUP(D28/MAX(1,모델!$D$32),0)*모델!$D$32,0)</f>
        <v>512</v>
      </c>
      <c r="E100" s="69" t="n">
        <f aca="false">IF(모델!$D$26&gt;0,ROUNDUP(E28/MAX(1,모델!$D$32),0)*모델!$D$32,0)</f>
        <v>1024</v>
      </c>
      <c r="F100" s="69" t="n">
        <f aca="false">IF(모델!$D$26&gt;0,ROUNDUP(F28/MAX(1,모델!$D$32),0)*모델!$D$32,0)</f>
        <v>2048</v>
      </c>
      <c r="G100" s="69" t="n">
        <f aca="false">IF(모델!$D$26&gt;0,ROUNDUP(G28/MAX(1,모델!$D$32),0)*모델!$D$32,0)</f>
        <v>4096</v>
      </c>
      <c r="H100" s="69" t="n">
        <f aca="false">IF(모델!$D$26&gt;0,ROUNDUP(H28/MAX(1,모델!$D$32),0)*모델!$D$32,0)</f>
        <v>8192</v>
      </c>
      <c r="I100" s="2"/>
    </row>
    <row r="101" customFormat="false" ht="17.15" hidden="false" customHeight="false" outlineLevel="0" collapsed="false">
      <c r="A101" s="30" t="s">
        <v>350</v>
      </c>
      <c r="B101" s="67" t="n">
        <f aca="false">모델!$D$26*B100*모델!$D$29*(6*모델!$D$32*모델!$D$28+4*모델!$D$32*모델!$D$30+6*모델!$D$28*모델!$D$30)</f>
        <v>22145925120</v>
      </c>
      <c r="C101" s="67" t="n">
        <f aca="false">모델!$D$26*C100*모델!$D$29*(6*모델!$D$32*모델!$D$28+4*모델!$D$32*모델!$D$30+6*모델!$D$28*모델!$D$30)</f>
        <v>44291850240</v>
      </c>
      <c r="D101" s="67" t="n">
        <f aca="false">모델!$D$26*D100*모델!$D$29*(6*모델!$D$32*모델!$D$28+4*모델!$D$32*모델!$D$30+6*모델!$D$28*모델!$D$30)</f>
        <v>88583700480</v>
      </c>
      <c r="E101" s="67" t="n">
        <f aca="false">모델!$D$26*E100*모델!$D$29*(6*모델!$D$32*모델!$D$28+4*모델!$D$32*모델!$D$30+6*모델!$D$28*모델!$D$30)</f>
        <v>177167400960</v>
      </c>
      <c r="F101" s="67" t="n">
        <f aca="false">모델!$D$26*F100*모델!$D$29*(6*모델!$D$32*모델!$D$28+4*모델!$D$32*모델!$D$30+6*모델!$D$28*모델!$D$30)</f>
        <v>354334801920</v>
      </c>
      <c r="G101" s="67" t="n">
        <f aca="false">모델!$D$26*G100*모델!$D$29*(6*모델!$D$32*모델!$D$28+4*모델!$D$32*모델!$D$30+6*모델!$D$28*모델!$D$30)</f>
        <v>708669603840</v>
      </c>
      <c r="H101" s="67" t="n">
        <f aca="false">모델!$D$26*H100*모델!$D$29*(6*모델!$D$32*모델!$D$28+4*모델!$D$32*모델!$D$30+6*모델!$D$28*모델!$D$30)</f>
        <v>1417339207680</v>
      </c>
      <c r="I101" s="2"/>
    </row>
    <row r="102" customFormat="false" ht="17.15" hidden="false" customHeight="false" outlineLevel="0" collapsed="false">
      <c r="A102" s="30" t="s">
        <v>351</v>
      </c>
      <c r="B102" s="67" t="n">
        <f aca="false">모델!$D$26*(B28*(모델!$D$52+2*모델!$D$29)*설정!$B$57+B28*모델!$D$29*모델!$D$30*설정!$B$57+모델!$D$29*모델!$D$28*모델!$D$30*설정!$B$59)</f>
        <v>110346240</v>
      </c>
      <c r="C102" s="67" t="n">
        <f aca="false">모델!$D$26*(C28*(모델!$D$52+2*모델!$D$29)*설정!$B$57+C28*모델!$D$29*모델!$D$30*설정!$B$57+모델!$D$29*모델!$D$28*모델!$D$30*설정!$B$59)</f>
        <v>157777920</v>
      </c>
      <c r="D102" s="67" t="n">
        <f aca="false">모델!$D$26*(D28*(모델!$D$52+2*모델!$D$29)*설정!$B$57+D28*모델!$D$29*모델!$D$30*설정!$B$57+모델!$D$29*모델!$D$28*모델!$D$30*설정!$B$59)</f>
        <v>252641280</v>
      </c>
      <c r="E102" s="67" t="n">
        <f aca="false">모델!$D$26*(E28*(모델!$D$52+2*모델!$D$29)*설정!$B$57+E28*모델!$D$29*모델!$D$30*설정!$B$57+모델!$D$29*모델!$D$28*모델!$D$30*설정!$B$59)</f>
        <v>442368000</v>
      </c>
      <c r="F102" s="67" t="n">
        <f aca="false">모델!$D$26*(F28*(모델!$D$52+2*모델!$D$29)*설정!$B$57+F28*모델!$D$29*모델!$D$30*설정!$B$57+모델!$D$29*모델!$D$28*모델!$D$30*설정!$B$59)</f>
        <v>821821440</v>
      </c>
      <c r="G102" s="67" t="n">
        <f aca="false">모델!$D$26*(G28*(모델!$D$52+2*모델!$D$29)*설정!$B$57+G28*모델!$D$29*모델!$D$30*설정!$B$57+모델!$D$29*모델!$D$28*모델!$D$30*설정!$B$59)</f>
        <v>1580728320</v>
      </c>
      <c r="H102" s="67" t="n">
        <f aca="false">모델!$D$26*(H28*(모델!$D$52+2*모델!$D$29)*설정!$B$57+H28*모델!$D$29*모델!$D$30*설정!$B$57+모델!$D$29*모델!$D$28*모델!$D$30*설정!$B$59)</f>
        <v>3098542080</v>
      </c>
      <c r="I102" s="2"/>
    </row>
    <row r="103" customFormat="false" ht="17.15" hidden="false" customHeight="false" outlineLevel="0" collapsed="false">
      <c r="A103" s="30" t="s">
        <v>352</v>
      </c>
      <c r="B103" s="68" t="n">
        <f aca="false">MAX(B101/설정!$B$69,B102/설정!$B$60)*1000</f>
        <v>2.16365176470588</v>
      </c>
      <c r="C103" s="68" t="n">
        <f aca="false">MAX(C101/설정!$B$69,C102/설정!$B$60)*1000</f>
        <v>3.69098752</v>
      </c>
      <c r="D103" s="68" t="n">
        <f aca="false">MAX(D101/설정!$B$69,D102/설정!$B$60)*1000</f>
        <v>7.38197504</v>
      </c>
      <c r="E103" s="68" t="n">
        <f aca="false">MAX(E101/설정!$B$69,E102/설정!$B$60)*1000</f>
        <v>14.76395008</v>
      </c>
      <c r="F103" s="68" t="n">
        <f aca="false">MAX(F101/설정!$B$69,F102/설정!$B$60)*1000</f>
        <v>29.52790016</v>
      </c>
      <c r="G103" s="68" t="n">
        <f aca="false">MAX(G101/설정!$B$69,G102/설정!$B$60)*1000</f>
        <v>59.05580032</v>
      </c>
      <c r="H103" s="68" t="n">
        <f aca="false">MAX(H101/설정!$B$69,H102/설정!$B$60)*1000</f>
        <v>118.11160064</v>
      </c>
      <c r="I103" s="2"/>
    </row>
    <row r="104" customFormat="false" ht="17.15" hidden="false" customHeight="false" outlineLevel="0" collapsed="false">
      <c r="A104" s="30" t="s">
        <v>353</v>
      </c>
      <c r="B104" s="68" t="n">
        <f aca="false">모델!$D$49*IF(설정!$B$40="CPU",설정!$B$41/1000+((B28)*모델!$D$36*설정!$B$43/8+(B28)*모델!$D$37*설정!$B$44)/(설정!$B$42*1000000000)*1000+(B28)*모델!$D$36*설정!$B$45/1000000,설정!$B$46/1000)</f>
        <v>6.90816</v>
      </c>
      <c r="C104" s="68" t="n">
        <f aca="false">모델!$D$49*IF(설정!$B$40="CPU",설정!$B$41/1000+((C28)*모델!$D$36*설정!$B$43/8+(C28)*모델!$D$37*설정!$B$44)/(설정!$B$42*1000000000)*1000+(C28)*모델!$D$36*설정!$B$45/1000000,설정!$B$46/1000)</f>
        <v>9.81632</v>
      </c>
      <c r="D104" s="68" t="n">
        <f aca="false">모델!$D$49*IF(설정!$B$40="CPU",설정!$B$41/1000+((D28)*모델!$D$36*설정!$B$43/8+(D28)*모델!$D$37*설정!$B$44)/(설정!$B$42*1000000000)*1000+(D28)*모델!$D$36*설정!$B$45/1000000,설정!$B$46/1000)</f>
        <v>15.63264</v>
      </c>
      <c r="E104" s="68" t="n">
        <f aca="false">모델!$D$49*IF(설정!$B$40="CPU",설정!$B$41/1000+((E28)*모델!$D$36*설정!$B$43/8+(E28)*모델!$D$37*설정!$B$44)/(설정!$B$42*1000000000)*1000+(E28)*모델!$D$36*설정!$B$45/1000000,설정!$B$46/1000)</f>
        <v>27.26528</v>
      </c>
      <c r="F104" s="68" t="n">
        <f aca="false">모델!$D$49*IF(설정!$B$40="CPU",설정!$B$41/1000+((F28)*모델!$D$36*설정!$B$43/8+(F28)*모델!$D$37*설정!$B$44)/(설정!$B$42*1000000000)*1000+(F28)*모델!$D$36*설정!$B$45/1000000,설정!$B$46/1000)</f>
        <v>50.53056</v>
      </c>
      <c r="G104" s="68" t="n">
        <f aca="false">모델!$D$49*IF(설정!$B$40="CPU",설정!$B$41/1000+((G28)*모델!$D$36*설정!$B$43/8+(G28)*모델!$D$37*설정!$B$44)/(설정!$B$42*1000000000)*1000+(G28)*모델!$D$36*설정!$B$45/1000000,설정!$B$46/1000)</f>
        <v>97.06112</v>
      </c>
      <c r="H104" s="68" t="n">
        <f aca="false">모델!$D$49*IF(설정!$B$40="CPU",설정!$B$41/1000+((H28)*모델!$D$36*설정!$B$43/8+(H28)*모델!$D$37*설정!$B$44)/(설정!$B$42*1000000000)*1000+(H28)*모델!$D$36*설정!$B$45/1000000,설정!$B$46/1000)</f>
        <v>190.12224</v>
      </c>
      <c r="I104" s="2"/>
    </row>
    <row r="105" customFormat="false" ht="17.15" hidden="false" customHeight="false" outlineLevel="0" collapsed="false">
      <c r="A105" s="33" t="s">
        <v>354</v>
      </c>
      <c r="B105" s="64" t="n">
        <f aca="false">B34+B37+B40+B43+B46+B49+B52+B55+B58+B61+B64+B67+B70+B73+B76+B79+B82+B85+B88+B91</f>
        <v>349.454518882335</v>
      </c>
      <c r="C105" s="64" t="n">
        <f aca="false">C34+C37+C40+C43+C46+C49+C52+C55+C58+C61+C64+C67+C70+C73+C76+C79+C82+C85+C88+C91</f>
        <v>374.426800601623</v>
      </c>
      <c r="D105" s="64" t="n">
        <f aca="false">D34+D37+D40+D43+D46+D49+D52+D55+D58+D61+D64+D67+D70+D73+D76+D79+D82+D85+D88+D91</f>
        <v>417.463582037067</v>
      </c>
      <c r="E105" s="64" t="n">
        <f aca="false">E34+E37+E40+E43+E46+E49+E52+E55+E58+E61+E64+E67+E70+E73+E76+E79+E82+E85+E88+E91</f>
        <v>503.647870895684</v>
      </c>
      <c r="F105" s="64" t="n">
        <f aca="false">F34+F37+F40+F43+F46+F49+F52+F55+F58+F61+F64+F67+F70+F73+F76+F79+F82+F85+F88+F91</f>
        <v>676.016391830588</v>
      </c>
      <c r="G105" s="64" t="n">
        <f aca="false">G34+G37+G40+G43+G46+G49+G52+G55+G58+G61+G64+G67+G70+G73+G76+G79+G82+G85+G88+G91</f>
        <v>1020.75343370039</v>
      </c>
      <c r="H105" s="64" t="n">
        <f aca="false">H34+H37+H40+H43+H46+H49+H52+H55+H58+H61+H64+H67+H70+H73+H76+H79+H82+H85+H88+H91</f>
        <v>1710.22751744</v>
      </c>
      <c r="I105" s="2"/>
    </row>
    <row r="106" customFormat="false" ht="17.15" hidden="false" customHeight="false" outlineLevel="0" collapsed="false">
      <c r="A106" s="33" t="s">
        <v>355</v>
      </c>
      <c r="B106" s="64" t="n">
        <f aca="false">B95+B99+B103</f>
        <v>2.39495529411765</v>
      </c>
      <c r="C106" s="64" t="n">
        <f aca="false">C95+C99+C103</f>
        <v>4.15359457882353</v>
      </c>
      <c r="D106" s="64" t="n">
        <f aca="false">D95+D99+D103</f>
        <v>8.30718915764706</v>
      </c>
      <c r="E106" s="64" t="n">
        <f aca="false">E95+E99+E103</f>
        <v>18.3465847466667</v>
      </c>
      <c r="F106" s="64" t="n">
        <f aca="false">F95+F99+F103</f>
        <v>43.85144832</v>
      </c>
      <c r="G106" s="64" t="n">
        <f aca="false">G95+G99+G103</f>
        <v>116.336011946667</v>
      </c>
      <c r="H106" s="64" t="n">
        <f aca="false">H95+H99+H103</f>
        <v>347.20448512</v>
      </c>
      <c r="I106" s="2"/>
    </row>
    <row r="107" customFormat="false" ht="17.15" hidden="false" customHeight="false" outlineLevel="0" collapsed="false">
      <c r="A107" s="33" t="s">
        <v>356</v>
      </c>
      <c r="B107" s="64" t="n">
        <f aca="false">(B32/$I$5+B35/$I$6+B38/$I$7+B41/$I$8+B44/$I$9+B47/$I$10+B50/$I$11+B53/$I$12+B56/$I$13+B59/$I$14+B62/$I$15+B65/$I$16+B68/$I$17+B71/$I$18+B74/$I$19+B77/$I$20+B80/$I$21+B83/$I$22+B86/$I$23+B89/$I$24+(B93+B97)/설정!$B$68+B101/설정!$B$69)*1000</f>
        <v>27.9349384533333</v>
      </c>
      <c r="C107" s="64" t="n">
        <f aca="false">(C32/$I$5+C35/$I$6+C38/$I$7+C41/$I$8+C44/$I$9+C47/$I$10+C50/$I$11+C53/$I$12+C56/$I$13+C59/$I$14+C62/$I$15+C65/$I$16+C68/$I$17+C71/$I$18+C74/$I$19+C77/$I$20+C80/$I$21+C83/$I$22+C86/$I$23+C89/$I$24+(C93+C97)/설정!$B$68+C101/설정!$B$69)*1000</f>
        <v>55.9393450666667</v>
      </c>
      <c r="D107" s="64" t="n">
        <f aca="false">(D32/$I$5+D35/$I$6+D38/$I$7+D41/$I$8+D44/$I$9+D47/$I$10+D50/$I$11+D53/$I$12+D56/$I$13+D59/$I$14+D62/$I$15+D65/$I$16+D68/$I$17+D71/$I$18+D74/$I$19+D77/$I$20+D80/$I$21+D83/$I$22+D86/$I$23+D89/$I$24+(D93+D97)/설정!$B$68+D101/설정!$B$69)*1000</f>
        <v>112.283702613333</v>
      </c>
      <c r="E107" s="64" t="n">
        <f aca="false">(E32/$I$5+E35/$I$6+E38/$I$7+E41/$I$8+E44/$I$9+E47/$I$10+E50/$I$11+E53/$I$12+E56/$I$13+E59/$I$14+E62/$I$15+E65/$I$16+E68/$I$17+E71/$I$18+E74/$I$19+E77/$I$20+E80/$I$21+E83/$I$22+E86/$I$23+E89/$I$24+(E93+E97)/설정!$B$68+E101/설정!$B$69)*1000</f>
        <v>226.314594986667</v>
      </c>
      <c r="F107" s="64" t="n">
        <f aca="false">(F32/$I$5+F35/$I$6+F38/$I$7+F41/$I$8+F44/$I$9+F47/$I$10+F50/$I$11+F53/$I$12+F56/$I$13+F59/$I$14+F62/$I$15+F65/$I$16+F68/$I$17+F71/$I$18+F74/$I$19+F77/$I$20+F80/$I$21+F83/$I$22+F86/$I$23+F89/$I$24+(F93+F97)/설정!$B$68+F101/설정!$B$69)*1000</f>
        <v>459.745088853333</v>
      </c>
      <c r="G107" s="64" t="n">
        <f aca="false">(G32/$I$5+G35/$I$6+G38/$I$7+G41/$I$8+G44/$I$9+G47/$I$10+G50/$I$11+G53/$I$12+G56/$I$13+G59/$I$14+G62/$I$15+G65/$I$16+G68/$I$17+G71/$I$18+G74/$I$19+G77/$I$20+G80/$I$21+G83/$I$22+G86/$I$23+G89/$I$24+(G93+G97)/설정!$B$68+G101/설정!$B$69)*1000</f>
        <v>948.080913066667</v>
      </c>
      <c r="H107" s="64" t="n">
        <f aca="false">(H32/$I$5+H35/$I$6+H38/$I$7+H41/$I$8+H44/$I$9+H47/$I$10+H50/$I$11+H53/$I$12+H56/$I$13+H59/$I$14+H62/$I$15+H65/$I$16+H68/$I$17+H71/$I$18+H74/$I$19+H77/$I$20+H80/$I$21+H83/$I$22+H86/$I$23+H89/$I$24+(H93+H97)/설정!$B$68+H101/설정!$B$69)*1000</f>
        <v>2010.65190741333</v>
      </c>
      <c r="I107" s="2"/>
    </row>
    <row r="108" customFormat="false" ht="17.15" hidden="false" customHeight="false" outlineLevel="0" collapsed="false">
      <c r="A108" s="33" t="s">
        <v>357</v>
      </c>
      <c r="B108" s="68" t="n">
        <f aca="false">(B33+B36+B39+B42+B45+B48+B51+B54+B57+B60+B63+B66+B69+B72+B75+B78+B81+B84+B87+B90+B94+B98+B102)/1000000000</f>
        <v>17.9443231829991</v>
      </c>
      <c r="C108" s="68" t="n">
        <f aca="false">(C33+C36+C39+C42+C45+C48+C51+C54+C57+C60+C63+C66+C69+C72+C75+C78+C81+C84+C87+C90+C94+C98+C102)/1000000000</f>
        <v>18.7718813650828</v>
      </c>
      <c r="D108" s="68" t="n">
        <f aca="false">(D33+D36+D39+D42+D45+D48+D51+D54+D57+D60+D63+D66+D69+D72+D75+D78+D81+D84+D87+D90+D94+D98+D102)/1000000000</f>
        <v>20.0386796400504</v>
      </c>
      <c r="E108" s="68" t="n">
        <f aca="false">(E33+E36+E39+E42+E45+E48+E51+E54+E57+E60+E63+E66+E69+E72+E75+E78+E81+E84+E87+E90+E94+E98+E102)/1000000000</f>
        <v>22.8770452479999</v>
      </c>
      <c r="F108" s="68" t="n">
        <f aca="false">(F33+F36+F39+F42+F45+F48+F51+F54+F57+F60+F63+F66+F69+F72+F75+F78+F81+F84+F87+F90+F94+F98+F102)/1000000000</f>
        <v>28.092400128</v>
      </c>
      <c r="G108" s="68" t="n">
        <f aca="false">(G33+G36+G39+G42+G45+G48+G51+G54+G57+G60+G63+G66+G69+G72+G75+G78+G81+G84+G87+G90+G94+G98+G102)/1000000000</f>
        <v>38.586024448</v>
      </c>
      <c r="H108" s="68" t="n">
        <f aca="false">(H33+H36+H39+H42+H45+H48+H51+H54+H57+H60+H63+H66+H69+H72+H75+H78+H81+H84+H87+H90+H94+H98+H102)/1000000000</f>
        <v>60.254847488</v>
      </c>
      <c r="I108" s="2"/>
    </row>
    <row r="109" customFormat="false" ht="17.15" hidden="false" customHeight="false" outlineLevel="0" collapsed="false">
      <c r="A109" s="33" t="s">
        <v>358</v>
      </c>
      <c r="B109" s="64" t="n">
        <f aca="false">B108*1000000000/설정!$B$60*1000</f>
        <v>351.849474176453</v>
      </c>
      <c r="C109" s="64" t="n">
        <f aca="false">C108*1000000000/설정!$B$60*1000</f>
        <v>368.076105197701</v>
      </c>
      <c r="D109" s="64" t="n">
        <f aca="false">D108*1000000000/설정!$B$60*1000</f>
        <v>392.915287059813</v>
      </c>
      <c r="E109" s="64" t="n">
        <f aca="false">E108*1000000000/설정!$B$60*1000</f>
        <v>448.569514666664</v>
      </c>
      <c r="F109" s="64" t="n">
        <f aca="false">F108*1000000000/설정!$B$60*1000</f>
        <v>550.831375058824</v>
      </c>
      <c r="G109" s="64" t="n">
        <f aca="false">G108*1000000000/설정!$B$60*1000</f>
        <v>756.588714666667</v>
      </c>
      <c r="H109" s="64" t="n">
        <f aca="false">H108*1000000000/설정!$B$60*1000</f>
        <v>1181.46759780392</v>
      </c>
      <c r="I109" s="2"/>
    </row>
    <row r="110" customFormat="false" ht="15" hidden="false" customHeight="false" outlineLevel="0" collapsed="false">
      <c r="A110" s="33" t="s">
        <v>359</v>
      </c>
      <c r="B110" s="70" t="str">
        <f aca="false">IF(B107&gt;B109,"연산","메모리")</f>
        <v>메모리</v>
      </c>
      <c r="C110" s="70" t="str">
        <f aca="false">IF(C107&gt;C109,"연산","메모리")</f>
        <v>메모리</v>
      </c>
      <c r="D110" s="70" t="str">
        <f aca="false">IF(D107&gt;D109,"연산","메모리")</f>
        <v>메모리</v>
      </c>
      <c r="E110" s="70" t="str">
        <f aca="false">IF(E107&gt;E109,"연산","메모리")</f>
        <v>메모리</v>
      </c>
      <c r="F110" s="70" t="str">
        <f aca="false">IF(F107&gt;F109,"연산","메모리")</f>
        <v>메모리</v>
      </c>
      <c r="G110" s="70" t="str">
        <f aca="false">IF(G107&gt;G109,"연산","메모리")</f>
        <v>연산</v>
      </c>
      <c r="H110" s="70" t="str">
        <f aca="false">IF(H107&gt;H109,"연산","메모리")</f>
        <v>연산</v>
      </c>
      <c r="I110" s="2"/>
    </row>
    <row r="111" customFormat="false" ht="15" hidden="false" customHeight="false" outlineLevel="0" collapsed="false">
      <c r="A111" s="16" t="s">
        <v>14</v>
      </c>
      <c r="B111" s="71" t="n">
        <f aca="false">(B105+B106)*(1+설정!$B$14)+B104+설정!$B$15</f>
        <v>393.942581594098</v>
      </c>
      <c r="C111" s="71" t="n">
        <f aca="false">(C105+C106)*(1+설정!$B$14)+C104+설정!$B$15</f>
        <v>426.254754698491</v>
      </c>
      <c r="D111" s="71" t="n">
        <f aca="false">(D105+D106)*(1+설정!$B$14)+D104+설정!$B$15</f>
        <v>483.980488314186</v>
      </c>
      <c r="E111" s="71" t="n">
        <f aca="false">(E105+E106)*(1+설정!$B$14)+E104+설정!$B$15</f>
        <v>601.459181206586</v>
      </c>
      <c r="F111" s="71" t="n">
        <f aca="false">(F105+F106)*(1+설정!$B$14)+F104+설정!$B$15</f>
        <v>842.385184165647</v>
      </c>
      <c r="G111" s="71" t="n">
        <f aca="false">(G105+G106)*(1+설정!$B$14)+G104+설정!$B$15</f>
        <v>1347.85951021177</v>
      </c>
      <c r="H111" s="71" t="n">
        <f aca="false">(H105+H106)*(1+설정!$B$14)+H104+설정!$B$15</f>
        <v>2453.297442816</v>
      </c>
      <c r="I111" s="2"/>
    </row>
    <row r="112" customFormat="false" ht="17.15" hidden="false" customHeight="false" outlineLevel="0" collapsed="false">
      <c r="A112" s="30" t="s">
        <v>360</v>
      </c>
      <c r="B112" s="72" t="n">
        <f aca="false">IF(B111&gt;0,B104/B111,0)</f>
        <v>0.0175359565651572</v>
      </c>
      <c r="C112" s="72" t="n">
        <f aca="false">IF(C111&gt;0,C104/C111,0)</f>
        <v>0.0230292328514752</v>
      </c>
      <c r="D112" s="72" t="n">
        <f aca="false">IF(D111&gt;0,D104/D111,0)</f>
        <v>0.0323001451038905</v>
      </c>
      <c r="E112" s="72" t="n">
        <f aca="false">IF(E111&gt;0,E104/E111,0)</f>
        <v>0.0453318876025854</v>
      </c>
      <c r="F112" s="72" t="n">
        <f aca="false">IF(F111&gt;0,F104/F111,0)</f>
        <v>0.0599851005808569</v>
      </c>
      <c r="G112" s="72" t="n">
        <f aca="false">IF(G111&gt;0,G104/G111,0)</f>
        <v>0.0720113033032282</v>
      </c>
      <c r="H112" s="72" t="n">
        <f aca="false">IF(H111&gt;0,H104/H111,0)</f>
        <v>0.0774966119810444</v>
      </c>
      <c r="I112" s="2"/>
    </row>
    <row r="113" customFormat="false" ht="17.15" hidden="false" customHeight="false" outlineLevel="0" collapsed="false">
      <c r="A113" s="30" t="s">
        <v>361</v>
      </c>
      <c r="B113" s="72" t="n">
        <f aca="false">IF(B111&gt;0,B103*(1+설정!$B$14)/B111,0)</f>
        <v>0.00604153257955937</v>
      </c>
      <c r="C113" s="72" t="n">
        <f aca="false">IF(C111&gt;0,C103*(1+설정!$B$14)/C111,0)</f>
        <v>0.00952502283492856</v>
      </c>
      <c r="D113" s="72" t="n">
        <f aca="false">IF(D111&gt;0,D103*(1+설정!$B$14)/D111,0)</f>
        <v>0.0167778923738939</v>
      </c>
      <c r="E113" s="72" t="n">
        <f aca="false">IF(E111&gt;0,E103*(1+설정!$B$14)/E111,0)</f>
        <v>0.0270015748291019</v>
      </c>
      <c r="F113" s="72" t="n">
        <f aca="false">IF(F111&gt;0,F103*(1+설정!$B$14)/F111,0)</f>
        <v>0.0385580026649816</v>
      </c>
      <c r="G113" s="72" t="n">
        <f aca="false">IF(G111&gt;0,G103*(1+설정!$B$14)/G111,0)</f>
        <v>0.0481959580058858</v>
      </c>
      <c r="H113" s="72" t="n">
        <f aca="false">IF(H111&gt;0,H103*(1+설정!$B$14)/H111,0)</f>
        <v>0.0529584217700358</v>
      </c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7.15" hidden="false" customHeight="false" outlineLevel="0" collapsed="false">
      <c r="A115" s="28" t="s">
        <v>362</v>
      </c>
      <c r="B115" s="29"/>
      <c r="C115" s="29"/>
      <c r="D115" s="29"/>
      <c r="E115" s="29"/>
      <c r="F115" s="29"/>
      <c r="G115" s="29"/>
      <c r="H115" s="29"/>
      <c r="I115" s="29"/>
    </row>
    <row r="116" customFormat="false" ht="15" hidden="false" customHeight="false" outlineLevel="0" collapsed="false">
      <c r="A116" s="7" t="s">
        <v>363</v>
      </c>
      <c r="B116" s="73" t="n">
        <f aca="false">설정!$B$54+설정!$B$51*설정!$B$52</f>
        <v>256</v>
      </c>
      <c r="C116" s="73" t="n">
        <f aca="false">설정!$C$54+설정!$B$51*설정!$B$52</f>
        <v>384</v>
      </c>
      <c r="D116" s="73" t="n">
        <f aca="false">설정!$D$54+설정!$B$51*설정!$B$52</f>
        <v>640</v>
      </c>
      <c r="E116" s="73" t="n">
        <f aca="false">설정!$E$54+설정!$B$51*설정!$B$52</f>
        <v>1152</v>
      </c>
      <c r="F116" s="73" t="n">
        <f aca="false">설정!$F$54+설정!$B$51*설정!$B$52</f>
        <v>2176</v>
      </c>
      <c r="G116" s="73" t="n">
        <f aca="false">설정!$G$54+설정!$B$51*설정!$B$52</f>
        <v>4224</v>
      </c>
      <c r="H116" s="73" t="n">
        <f aca="false">설정!$H$54+설정!$B$51*설정!$B$52</f>
        <v>8320</v>
      </c>
      <c r="I116" s="2"/>
    </row>
    <row r="117" customFormat="false" ht="17.15" hidden="false" customHeight="false" outlineLevel="0" collapsed="false">
      <c r="A117" s="30" t="s">
        <v>281</v>
      </c>
      <c r="B117" s="67" t="n">
        <f aca="false">($D$5)*2*(1)*$B$5*$C$5</f>
        <v>335544320</v>
      </c>
      <c r="C117" s="67" t="n">
        <f aca="false">($D$5)*2*(1)*$B$5*$C$5</f>
        <v>335544320</v>
      </c>
      <c r="D117" s="67" t="n">
        <f aca="false">($D$5)*2*(1)*$B$5*$C$5</f>
        <v>335544320</v>
      </c>
      <c r="E117" s="67" t="n">
        <f aca="false">($D$5)*2*(1)*$B$5*$C$5</f>
        <v>335544320</v>
      </c>
      <c r="F117" s="67" t="n">
        <f aca="false">($D$5)*2*(1)*$B$5*$C$5</f>
        <v>335544320</v>
      </c>
      <c r="G117" s="67" t="n">
        <f aca="false">($D$5)*2*(1)*$B$5*$C$5</f>
        <v>335544320</v>
      </c>
      <c r="H117" s="67" t="n">
        <f aca="false">($D$5)*2*(1)*$B$5*$C$5</f>
        <v>335544320</v>
      </c>
      <c r="I117" s="2"/>
    </row>
    <row r="118" customFormat="false" ht="17.15" hidden="false" customHeight="false" outlineLevel="0" collapsed="false">
      <c r="A118" s="30" t="s">
        <v>282</v>
      </c>
      <c r="B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86609920</v>
      </c>
      <c r="C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86609920</v>
      </c>
      <c r="D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86609920</v>
      </c>
      <c r="E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86609920</v>
      </c>
      <c r="F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86609920</v>
      </c>
      <c r="G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86609920</v>
      </c>
      <c r="H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86609920</v>
      </c>
      <c r="I118" s="2"/>
    </row>
    <row r="119" customFormat="false" ht="17.15" hidden="false" customHeight="false" outlineLevel="0" collapsed="false">
      <c r="A119" s="30" t="s">
        <v>283</v>
      </c>
      <c r="B119" s="68" t="n">
        <f aca="false">MAX(B117/$I$5,B118/설정!$B$60)*1000</f>
        <v>1.6982337254902</v>
      </c>
      <c r="C119" s="68" t="n">
        <f aca="false">MAX(C117/$I$5,C118/설정!$B$60)*1000</f>
        <v>1.6982337254902</v>
      </c>
      <c r="D119" s="68" t="n">
        <f aca="false">MAX(D117/$I$5,D118/설정!$B$60)*1000</f>
        <v>1.6982337254902</v>
      </c>
      <c r="E119" s="68" t="n">
        <f aca="false">MAX(E117/$I$5,E118/설정!$B$60)*1000</f>
        <v>1.6982337254902</v>
      </c>
      <c r="F119" s="68" t="n">
        <f aca="false">MAX(F117/$I$5,F118/설정!$B$60)*1000</f>
        <v>1.6982337254902</v>
      </c>
      <c r="G119" s="68" t="n">
        <f aca="false">MAX(G117/$I$5,G118/설정!$B$60)*1000</f>
        <v>1.6982337254902</v>
      </c>
      <c r="H119" s="68" t="n">
        <f aca="false">MAX(H117/$I$5,H118/설정!$B$60)*1000</f>
        <v>1.6982337254902</v>
      </c>
      <c r="I119" s="2"/>
    </row>
    <row r="120" customFormat="false" ht="17.15" hidden="false" customHeight="false" outlineLevel="0" collapsed="false">
      <c r="A120" s="30" t="s">
        <v>284</v>
      </c>
      <c r="B120" s="67" t="n">
        <f aca="false">($D$6)*2*(1)*$B$6*$C$6</f>
        <v>20971520</v>
      </c>
      <c r="C120" s="67" t="n">
        <f aca="false">($D$6)*2*(1)*$B$6*$C$6</f>
        <v>20971520</v>
      </c>
      <c r="D120" s="67" t="n">
        <f aca="false">($D$6)*2*(1)*$B$6*$C$6</f>
        <v>20971520</v>
      </c>
      <c r="E120" s="67" t="n">
        <f aca="false">($D$6)*2*(1)*$B$6*$C$6</f>
        <v>20971520</v>
      </c>
      <c r="F120" s="67" t="n">
        <f aca="false">($D$6)*2*(1)*$B$6*$C$6</f>
        <v>20971520</v>
      </c>
      <c r="G120" s="67" t="n">
        <f aca="false">($D$6)*2*(1)*$B$6*$C$6</f>
        <v>20971520</v>
      </c>
      <c r="H120" s="67" t="n">
        <f aca="false">($D$6)*2*(1)*$B$6*$C$6</f>
        <v>20971520</v>
      </c>
      <c r="I120" s="2"/>
    </row>
    <row r="121" customFormat="false" ht="17.15" hidden="false" customHeight="false" outlineLevel="0" collapsed="false">
      <c r="A121" s="30" t="s">
        <v>285</v>
      </c>
      <c r="B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5432320</v>
      </c>
      <c r="C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5432320</v>
      </c>
      <c r="D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5432320</v>
      </c>
      <c r="E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5432320</v>
      </c>
      <c r="F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5432320</v>
      </c>
      <c r="G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5432320</v>
      </c>
      <c r="H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5432320</v>
      </c>
      <c r="I121" s="2"/>
    </row>
    <row r="122" customFormat="false" ht="17.15" hidden="false" customHeight="false" outlineLevel="0" collapsed="false">
      <c r="A122" s="30" t="s">
        <v>286</v>
      </c>
      <c r="B122" s="68" t="n">
        <f aca="false">MAX(B120/$I$6,B121/설정!$B$60)*1000</f>
        <v>0.106516078431373</v>
      </c>
      <c r="C122" s="68" t="n">
        <f aca="false">MAX(C120/$I$6,C121/설정!$B$60)*1000</f>
        <v>0.106516078431373</v>
      </c>
      <c r="D122" s="68" t="n">
        <f aca="false">MAX(D120/$I$6,D121/설정!$B$60)*1000</f>
        <v>0.106516078431373</v>
      </c>
      <c r="E122" s="68" t="n">
        <f aca="false">MAX(E120/$I$6,E121/설정!$B$60)*1000</f>
        <v>0.106516078431373</v>
      </c>
      <c r="F122" s="68" t="n">
        <f aca="false">MAX(F120/$I$6,F121/설정!$B$60)*1000</f>
        <v>0.106516078431373</v>
      </c>
      <c r="G122" s="68" t="n">
        <f aca="false">MAX(G120/$I$6,G121/설정!$B$60)*1000</f>
        <v>0.106516078431373</v>
      </c>
      <c r="H122" s="68" t="n">
        <f aca="false">MAX(H120/$I$6,H121/설정!$B$60)*1000</f>
        <v>0.106516078431373</v>
      </c>
      <c r="I122" s="2"/>
    </row>
    <row r="123" customFormat="false" ht="17.15" hidden="false" customHeight="false" outlineLevel="0" collapsed="false">
      <c r="A123" s="30" t="s">
        <v>287</v>
      </c>
      <c r="B123" s="67" t="n">
        <f aca="false">($D$7)*2*(1)*$B$7*$C$7</f>
        <v>20971520</v>
      </c>
      <c r="C123" s="67" t="n">
        <f aca="false">($D$7)*2*(1)*$B$7*$C$7</f>
        <v>20971520</v>
      </c>
      <c r="D123" s="67" t="n">
        <f aca="false">($D$7)*2*(1)*$B$7*$C$7</f>
        <v>20971520</v>
      </c>
      <c r="E123" s="67" t="n">
        <f aca="false">($D$7)*2*(1)*$B$7*$C$7</f>
        <v>20971520</v>
      </c>
      <c r="F123" s="67" t="n">
        <f aca="false">($D$7)*2*(1)*$B$7*$C$7</f>
        <v>20971520</v>
      </c>
      <c r="G123" s="67" t="n">
        <f aca="false">($D$7)*2*(1)*$B$7*$C$7</f>
        <v>20971520</v>
      </c>
      <c r="H123" s="67" t="n">
        <f aca="false">($D$7)*2*(1)*$B$7*$C$7</f>
        <v>20971520</v>
      </c>
      <c r="I123" s="2"/>
    </row>
    <row r="124" customFormat="false" ht="17.15" hidden="false" customHeight="false" outlineLevel="0" collapsed="false">
      <c r="A124" s="30" t="s">
        <v>288</v>
      </c>
      <c r="B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5432320</v>
      </c>
      <c r="C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5432320</v>
      </c>
      <c r="D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5432320</v>
      </c>
      <c r="E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5432320</v>
      </c>
      <c r="F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5432320</v>
      </c>
      <c r="G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5432320</v>
      </c>
      <c r="H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5432320</v>
      </c>
      <c r="I124" s="2"/>
    </row>
    <row r="125" customFormat="false" ht="17.15" hidden="false" customHeight="false" outlineLevel="0" collapsed="false">
      <c r="A125" s="30" t="s">
        <v>289</v>
      </c>
      <c r="B125" s="68" t="n">
        <f aca="false">MAX(B123/$I$7,B124/설정!$B$60)*1000</f>
        <v>0.106516078431373</v>
      </c>
      <c r="C125" s="68" t="n">
        <f aca="false">MAX(C123/$I$7,C124/설정!$B$60)*1000</f>
        <v>0.106516078431373</v>
      </c>
      <c r="D125" s="68" t="n">
        <f aca="false">MAX(D123/$I$7,D124/설정!$B$60)*1000</f>
        <v>0.106516078431373</v>
      </c>
      <c r="E125" s="68" t="n">
        <f aca="false">MAX(E123/$I$7,E124/설정!$B$60)*1000</f>
        <v>0.106516078431373</v>
      </c>
      <c r="F125" s="68" t="n">
        <f aca="false">MAX(F123/$I$7,F124/설정!$B$60)*1000</f>
        <v>0.106516078431373</v>
      </c>
      <c r="G125" s="68" t="n">
        <f aca="false">MAX(G123/$I$7,G124/설정!$B$60)*1000</f>
        <v>0.106516078431373</v>
      </c>
      <c r="H125" s="68" t="n">
        <f aca="false">MAX(H123/$I$7,H124/설정!$B$60)*1000</f>
        <v>0.106516078431373</v>
      </c>
      <c r="I125" s="2"/>
    </row>
    <row r="126" customFormat="false" ht="17.15" hidden="false" customHeight="false" outlineLevel="0" collapsed="false">
      <c r="A126" s="30" t="s">
        <v>290</v>
      </c>
      <c r="B126" s="67" t="n">
        <f aca="false">($D$8)*2*(1)*$B$8*$C$8</f>
        <v>167772160</v>
      </c>
      <c r="C126" s="67" t="n">
        <f aca="false">($D$8)*2*(1)*$B$8*$C$8</f>
        <v>167772160</v>
      </c>
      <c r="D126" s="67" t="n">
        <f aca="false">($D$8)*2*(1)*$B$8*$C$8</f>
        <v>167772160</v>
      </c>
      <c r="E126" s="67" t="n">
        <f aca="false">($D$8)*2*(1)*$B$8*$C$8</f>
        <v>167772160</v>
      </c>
      <c r="F126" s="67" t="n">
        <f aca="false">($D$8)*2*(1)*$B$8*$C$8</f>
        <v>167772160</v>
      </c>
      <c r="G126" s="67" t="n">
        <f aca="false">($D$8)*2*(1)*$B$8*$C$8</f>
        <v>167772160</v>
      </c>
      <c r="H126" s="67" t="n">
        <f aca="false">($D$8)*2*(1)*$B$8*$C$8</f>
        <v>167772160</v>
      </c>
      <c r="I126" s="2"/>
    </row>
    <row r="127" customFormat="false" ht="17.15" hidden="false" customHeight="false" outlineLevel="0" collapsed="false">
      <c r="A127" s="30" t="s">
        <v>291</v>
      </c>
      <c r="B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43315200</v>
      </c>
      <c r="C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43315200</v>
      </c>
      <c r="D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43315200</v>
      </c>
      <c r="E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43315200</v>
      </c>
      <c r="F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43315200</v>
      </c>
      <c r="G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43315200</v>
      </c>
      <c r="H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43315200</v>
      </c>
      <c r="I127" s="2"/>
    </row>
    <row r="128" customFormat="false" ht="17.15" hidden="false" customHeight="false" outlineLevel="0" collapsed="false">
      <c r="A128" s="30" t="s">
        <v>292</v>
      </c>
      <c r="B128" s="68" t="n">
        <f aca="false">MAX(B126/$I$8,B127/설정!$B$60)*1000</f>
        <v>0.849317647058824</v>
      </c>
      <c r="C128" s="68" t="n">
        <f aca="false">MAX(C126/$I$8,C127/설정!$B$60)*1000</f>
        <v>0.849317647058824</v>
      </c>
      <c r="D128" s="68" t="n">
        <f aca="false">MAX(D126/$I$8,D127/설정!$B$60)*1000</f>
        <v>0.849317647058824</v>
      </c>
      <c r="E128" s="68" t="n">
        <f aca="false">MAX(E126/$I$8,E127/설정!$B$60)*1000</f>
        <v>0.849317647058824</v>
      </c>
      <c r="F128" s="68" t="n">
        <f aca="false">MAX(F126/$I$8,F127/설정!$B$60)*1000</f>
        <v>0.849317647058824</v>
      </c>
      <c r="G128" s="68" t="n">
        <f aca="false">MAX(G126/$I$8,G127/설정!$B$60)*1000</f>
        <v>0.849317647058824</v>
      </c>
      <c r="H128" s="68" t="n">
        <f aca="false">MAX(H126/$I$8,H127/설정!$B$60)*1000</f>
        <v>0.849317647058824</v>
      </c>
      <c r="I128" s="2"/>
    </row>
    <row r="129" customFormat="false" ht="17.15" hidden="false" customHeight="false" outlineLevel="0" collapsed="false">
      <c r="A129" s="30" t="s">
        <v>293</v>
      </c>
      <c r="B129" s="67" t="n">
        <f aca="false">($D$9)*2*(1)*$B$9*$C$9</f>
        <v>0</v>
      </c>
      <c r="C129" s="67" t="n">
        <f aca="false">($D$9)*2*(1)*$B$9*$C$9</f>
        <v>0</v>
      </c>
      <c r="D129" s="67" t="n">
        <f aca="false">($D$9)*2*(1)*$B$9*$C$9</f>
        <v>0</v>
      </c>
      <c r="E129" s="67" t="n">
        <f aca="false">($D$9)*2*(1)*$B$9*$C$9</f>
        <v>0</v>
      </c>
      <c r="F129" s="67" t="n">
        <f aca="false">($D$9)*2*(1)*$B$9*$C$9</f>
        <v>0</v>
      </c>
      <c r="G129" s="67" t="n">
        <f aca="false">($D$9)*2*(1)*$B$9*$C$9</f>
        <v>0</v>
      </c>
      <c r="H129" s="67" t="n">
        <f aca="false">($D$9)*2*(1)*$B$9*$C$9</f>
        <v>0</v>
      </c>
      <c r="I129" s="2"/>
    </row>
    <row r="130" customFormat="false" ht="17.15" hidden="false" customHeight="false" outlineLevel="0" collapsed="false">
      <c r="A130" s="30" t="s">
        <v>294</v>
      </c>
      <c r="B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C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D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E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F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G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H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I130" s="2"/>
    </row>
    <row r="131" customFormat="false" ht="17.15" hidden="false" customHeight="false" outlineLevel="0" collapsed="false">
      <c r="A131" s="30" t="s">
        <v>295</v>
      </c>
      <c r="B131" s="68" t="n">
        <f aca="false">MAX(B129/$I$9,B130/설정!$B$60)*1000</f>
        <v>0</v>
      </c>
      <c r="C131" s="68" t="n">
        <f aca="false">MAX(C129/$I$9,C130/설정!$B$60)*1000</f>
        <v>0</v>
      </c>
      <c r="D131" s="68" t="n">
        <f aca="false">MAX(D129/$I$9,D130/설정!$B$60)*1000</f>
        <v>0</v>
      </c>
      <c r="E131" s="68" t="n">
        <f aca="false">MAX(E129/$I$9,E130/설정!$B$60)*1000</f>
        <v>0</v>
      </c>
      <c r="F131" s="68" t="n">
        <f aca="false">MAX(F129/$I$9,F130/설정!$B$60)*1000</f>
        <v>0</v>
      </c>
      <c r="G131" s="68" t="n">
        <f aca="false">MAX(G129/$I$9,G130/설정!$B$60)*1000</f>
        <v>0</v>
      </c>
      <c r="H131" s="68" t="n">
        <f aca="false">MAX(H129/$I$9,H130/설정!$B$60)*1000</f>
        <v>0</v>
      </c>
      <c r="I131" s="2"/>
    </row>
    <row r="132" customFormat="false" ht="17.15" hidden="false" customHeight="false" outlineLevel="0" collapsed="false">
      <c r="A132" s="30" t="s">
        <v>296</v>
      </c>
      <c r="B132" s="67" t="n">
        <f aca="false">($D$10)*2*(1)*$B$10*$C$10</f>
        <v>0</v>
      </c>
      <c r="C132" s="67" t="n">
        <f aca="false">($D$10)*2*(1)*$B$10*$C$10</f>
        <v>0</v>
      </c>
      <c r="D132" s="67" t="n">
        <f aca="false">($D$10)*2*(1)*$B$10*$C$10</f>
        <v>0</v>
      </c>
      <c r="E132" s="67" t="n">
        <f aca="false">($D$10)*2*(1)*$B$10*$C$10</f>
        <v>0</v>
      </c>
      <c r="F132" s="67" t="n">
        <f aca="false">($D$10)*2*(1)*$B$10*$C$10</f>
        <v>0</v>
      </c>
      <c r="G132" s="67" t="n">
        <f aca="false">($D$10)*2*(1)*$B$10*$C$10</f>
        <v>0</v>
      </c>
      <c r="H132" s="67" t="n">
        <f aca="false">($D$10)*2*(1)*$B$10*$C$10</f>
        <v>0</v>
      </c>
      <c r="I132" s="2"/>
    </row>
    <row r="133" customFormat="false" ht="17.15" hidden="false" customHeight="false" outlineLevel="0" collapsed="false">
      <c r="A133" s="30" t="s">
        <v>297</v>
      </c>
      <c r="B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C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D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E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F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G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H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I133" s="2"/>
    </row>
    <row r="134" customFormat="false" ht="17.15" hidden="false" customHeight="false" outlineLevel="0" collapsed="false">
      <c r="A134" s="30" t="s">
        <v>298</v>
      </c>
      <c r="B134" s="68" t="n">
        <f aca="false">MAX(B132/$I$10,B133/설정!$B$60)*1000</f>
        <v>0</v>
      </c>
      <c r="C134" s="68" t="n">
        <f aca="false">MAX(C132/$I$10,C133/설정!$B$60)*1000</f>
        <v>0</v>
      </c>
      <c r="D134" s="68" t="n">
        <f aca="false">MAX(D132/$I$10,D133/설정!$B$60)*1000</f>
        <v>0</v>
      </c>
      <c r="E134" s="68" t="n">
        <f aca="false">MAX(E132/$I$10,E133/설정!$B$60)*1000</f>
        <v>0</v>
      </c>
      <c r="F134" s="68" t="n">
        <f aca="false">MAX(F132/$I$10,F133/설정!$B$60)*1000</f>
        <v>0</v>
      </c>
      <c r="G134" s="68" t="n">
        <f aca="false">MAX(G132/$I$10,G133/설정!$B$60)*1000</f>
        <v>0</v>
      </c>
      <c r="H134" s="68" t="n">
        <f aca="false">MAX(H132/$I$10,H133/설정!$B$60)*1000</f>
        <v>0</v>
      </c>
      <c r="I134" s="2"/>
    </row>
    <row r="135" customFormat="false" ht="17.15" hidden="false" customHeight="false" outlineLevel="0" collapsed="false">
      <c r="A135" s="30" t="s">
        <v>299</v>
      </c>
      <c r="B135" s="67" t="n">
        <f aca="false">($D$11)*2*(1)*$B$11*$C$11</f>
        <v>0</v>
      </c>
      <c r="C135" s="67" t="n">
        <f aca="false">($D$11)*2*(1)*$B$11*$C$11</f>
        <v>0</v>
      </c>
      <c r="D135" s="67" t="n">
        <f aca="false">($D$11)*2*(1)*$B$11*$C$11</f>
        <v>0</v>
      </c>
      <c r="E135" s="67" t="n">
        <f aca="false">($D$11)*2*(1)*$B$11*$C$11</f>
        <v>0</v>
      </c>
      <c r="F135" s="67" t="n">
        <f aca="false">($D$11)*2*(1)*$B$11*$C$11</f>
        <v>0</v>
      </c>
      <c r="G135" s="67" t="n">
        <f aca="false">($D$11)*2*(1)*$B$11*$C$11</f>
        <v>0</v>
      </c>
      <c r="H135" s="67" t="n">
        <f aca="false">($D$11)*2*(1)*$B$11*$C$11</f>
        <v>0</v>
      </c>
      <c r="I135" s="2"/>
    </row>
    <row r="136" customFormat="false" ht="17.15" hidden="false" customHeight="false" outlineLevel="0" collapsed="false">
      <c r="A136" s="30" t="s">
        <v>300</v>
      </c>
      <c r="B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C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D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E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F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G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H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I136" s="2"/>
    </row>
    <row r="137" customFormat="false" ht="17.15" hidden="false" customHeight="false" outlineLevel="0" collapsed="false">
      <c r="A137" s="30" t="s">
        <v>301</v>
      </c>
      <c r="B137" s="68" t="n">
        <f aca="false">MAX(B135/$I$11,B136/설정!$B$60)*1000</f>
        <v>0</v>
      </c>
      <c r="C137" s="68" t="n">
        <f aca="false">MAX(C135/$I$11,C136/설정!$B$60)*1000</f>
        <v>0</v>
      </c>
      <c r="D137" s="68" t="n">
        <f aca="false">MAX(D135/$I$11,D136/설정!$B$60)*1000</f>
        <v>0</v>
      </c>
      <c r="E137" s="68" t="n">
        <f aca="false">MAX(E135/$I$11,E136/설정!$B$60)*1000</f>
        <v>0</v>
      </c>
      <c r="F137" s="68" t="n">
        <f aca="false">MAX(F135/$I$11,F136/설정!$B$60)*1000</f>
        <v>0</v>
      </c>
      <c r="G137" s="68" t="n">
        <f aca="false">MAX(G135/$I$11,G136/설정!$B$60)*1000</f>
        <v>0</v>
      </c>
      <c r="H137" s="68" t="n">
        <f aca="false">MAX(H135/$I$11,H136/설정!$B$60)*1000</f>
        <v>0</v>
      </c>
      <c r="I137" s="2"/>
    </row>
    <row r="138" customFormat="false" ht="17.15" hidden="false" customHeight="false" outlineLevel="0" collapsed="false">
      <c r="A138" s="30" t="s">
        <v>302</v>
      </c>
      <c r="B138" s="67" t="n">
        <f aca="false">($D$12)*2*(1)*$B$12*$C$12</f>
        <v>0</v>
      </c>
      <c r="C138" s="67" t="n">
        <f aca="false">($D$12)*2*(1)*$B$12*$C$12</f>
        <v>0</v>
      </c>
      <c r="D138" s="67" t="n">
        <f aca="false">($D$12)*2*(1)*$B$12*$C$12</f>
        <v>0</v>
      </c>
      <c r="E138" s="67" t="n">
        <f aca="false">($D$12)*2*(1)*$B$12*$C$12</f>
        <v>0</v>
      </c>
      <c r="F138" s="67" t="n">
        <f aca="false">($D$12)*2*(1)*$B$12*$C$12</f>
        <v>0</v>
      </c>
      <c r="G138" s="67" t="n">
        <f aca="false">($D$12)*2*(1)*$B$12*$C$12</f>
        <v>0</v>
      </c>
      <c r="H138" s="67" t="n">
        <f aca="false">($D$12)*2*(1)*$B$12*$C$12</f>
        <v>0</v>
      </c>
      <c r="I138" s="2"/>
    </row>
    <row r="139" customFormat="false" ht="17.15" hidden="false" customHeight="false" outlineLevel="0" collapsed="false">
      <c r="A139" s="30" t="s">
        <v>303</v>
      </c>
      <c r="B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C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D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E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F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G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H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I139" s="2"/>
    </row>
    <row r="140" customFormat="false" ht="17.15" hidden="false" customHeight="false" outlineLevel="0" collapsed="false">
      <c r="A140" s="30" t="s">
        <v>304</v>
      </c>
      <c r="B140" s="68" t="n">
        <f aca="false">MAX(B138/$I$12,B139/설정!$B$60)*1000</f>
        <v>0</v>
      </c>
      <c r="C140" s="68" t="n">
        <f aca="false">MAX(C138/$I$12,C139/설정!$B$60)*1000</f>
        <v>0</v>
      </c>
      <c r="D140" s="68" t="n">
        <f aca="false">MAX(D138/$I$12,D139/설정!$B$60)*1000</f>
        <v>0</v>
      </c>
      <c r="E140" s="68" t="n">
        <f aca="false">MAX(E138/$I$12,E139/설정!$B$60)*1000</f>
        <v>0</v>
      </c>
      <c r="F140" s="68" t="n">
        <f aca="false">MAX(F138/$I$12,F139/설정!$B$60)*1000</f>
        <v>0</v>
      </c>
      <c r="G140" s="68" t="n">
        <f aca="false">MAX(G138/$I$12,G139/설정!$B$60)*1000</f>
        <v>0</v>
      </c>
      <c r="H140" s="68" t="n">
        <f aca="false">MAX(H138/$I$12,H139/설정!$B$60)*1000</f>
        <v>0</v>
      </c>
      <c r="I140" s="2"/>
    </row>
    <row r="141" customFormat="false" ht="17.15" hidden="false" customHeight="false" outlineLevel="0" collapsed="false">
      <c r="A141" s="30" t="s">
        <v>305</v>
      </c>
      <c r="B141" s="67" t="n">
        <f aca="false">($D$13)*2*(1)*$B$13*$C$13</f>
        <v>1006632960</v>
      </c>
      <c r="C141" s="67" t="n">
        <f aca="false">($D$13)*2*(1)*$B$13*$C$13</f>
        <v>1006632960</v>
      </c>
      <c r="D141" s="67" t="n">
        <f aca="false">($D$13)*2*(1)*$B$13*$C$13</f>
        <v>1006632960</v>
      </c>
      <c r="E141" s="67" t="n">
        <f aca="false">($D$13)*2*(1)*$B$13*$C$13</f>
        <v>1006632960</v>
      </c>
      <c r="F141" s="67" t="n">
        <f aca="false">($D$13)*2*(1)*$B$13*$C$13</f>
        <v>1006632960</v>
      </c>
      <c r="G141" s="67" t="n">
        <f aca="false">($D$13)*2*(1)*$B$13*$C$13</f>
        <v>1006632960</v>
      </c>
      <c r="H141" s="67" t="n">
        <f aca="false">($D$13)*2*(1)*$B$13*$C$13</f>
        <v>1006632960</v>
      </c>
      <c r="I141" s="2"/>
    </row>
    <row r="142" customFormat="false" ht="17.15" hidden="false" customHeight="false" outlineLevel="0" collapsed="false">
      <c r="A142" s="30" t="s">
        <v>306</v>
      </c>
      <c r="B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259829760</v>
      </c>
      <c r="C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259829760</v>
      </c>
      <c r="D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259829760</v>
      </c>
      <c r="E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259829760</v>
      </c>
      <c r="F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259829760</v>
      </c>
      <c r="G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259829760</v>
      </c>
      <c r="H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259829760</v>
      </c>
      <c r="I142" s="2"/>
    </row>
    <row r="143" customFormat="false" ht="17.15" hidden="false" customHeight="false" outlineLevel="0" collapsed="false">
      <c r="A143" s="30" t="s">
        <v>307</v>
      </c>
      <c r="B143" s="68" t="n">
        <f aca="false">MAX(B141/$I$13,B142/설정!$B$60)*1000</f>
        <v>5.09470117647059</v>
      </c>
      <c r="C143" s="68" t="n">
        <f aca="false">MAX(C141/$I$13,C142/설정!$B$60)*1000</f>
        <v>5.09470117647059</v>
      </c>
      <c r="D143" s="68" t="n">
        <f aca="false">MAX(D141/$I$13,D142/설정!$B$60)*1000</f>
        <v>5.09470117647059</v>
      </c>
      <c r="E143" s="68" t="n">
        <f aca="false">MAX(E141/$I$13,E142/설정!$B$60)*1000</f>
        <v>5.09470117647059</v>
      </c>
      <c r="F143" s="68" t="n">
        <f aca="false">MAX(F141/$I$13,F142/설정!$B$60)*1000</f>
        <v>5.09470117647059</v>
      </c>
      <c r="G143" s="68" t="n">
        <f aca="false">MAX(G141/$I$13,G142/설정!$B$60)*1000</f>
        <v>5.09470117647059</v>
      </c>
      <c r="H143" s="68" t="n">
        <f aca="false">MAX(H141/$I$13,H142/설정!$B$60)*1000</f>
        <v>5.09470117647059</v>
      </c>
      <c r="I143" s="2"/>
    </row>
    <row r="144" customFormat="false" ht="17.15" hidden="false" customHeight="false" outlineLevel="0" collapsed="false">
      <c r="A144" s="30" t="s">
        <v>308</v>
      </c>
      <c r="B144" s="67" t="n">
        <f aca="false">($D$14)*2*(1)*$B$14*$C$14</f>
        <v>503316480</v>
      </c>
      <c r="C144" s="67" t="n">
        <f aca="false">($D$14)*2*(1)*$B$14*$C$14</f>
        <v>503316480</v>
      </c>
      <c r="D144" s="67" t="n">
        <f aca="false">($D$14)*2*(1)*$B$14*$C$14</f>
        <v>503316480</v>
      </c>
      <c r="E144" s="67" t="n">
        <f aca="false">($D$14)*2*(1)*$B$14*$C$14</f>
        <v>503316480</v>
      </c>
      <c r="F144" s="67" t="n">
        <f aca="false">($D$14)*2*(1)*$B$14*$C$14</f>
        <v>503316480</v>
      </c>
      <c r="G144" s="67" t="n">
        <f aca="false">($D$14)*2*(1)*$B$14*$C$14</f>
        <v>503316480</v>
      </c>
      <c r="H144" s="67" t="n">
        <f aca="false">($D$14)*2*(1)*$B$14*$C$14</f>
        <v>503316480</v>
      </c>
      <c r="I144" s="2"/>
    </row>
    <row r="145" customFormat="false" ht="17.15" hidden="false" customHeight="false" outlineLevel="0" collapsed="false">
      <c r="A145" s="30" t="s">
        <v>309</v>
      </c>
      <c r="B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129945600</v>
      </c>
      <c r="C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129945600</v>
      </c>
      <c r="D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129945600</v>
      </c>
      <c r="E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129945600</v>
      </c>
      <c r="F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129945600</v>
      </c>
      <c r="G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129945600</v>
      </c>
      <c r="H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129945600</v>
      </c>
      <c r="I145" s="2"/>
    </row>
    <row r="146" customFormat="false" ht="17.15" hidden="false" customHeight="false" outlineLevel="0" collapsed="false">
      <c r="A146" s="30" t="s">
        <v>310</v>
      </c>
      <c r="B146" s="68" t="n">
        <f aca="false">MAX(B144/$I$14,B145/설정!$B$60)*1000</f>
        <v>2.54795294117647</v>
      </c>
      <c r="C146" s="68" t="n">
        <f aca="false">MAX(C144/$I$14,C145/설정!$B$60)*1000</f>
        <v>2.54795294117647</v>
      </c>
      <c r="D146" s="68" t="n">
        <f aca="false">MAX(D144/$I$14,D145/설정!$B$60)*1000</f>
        <v>2.54795294117647</v>
      </c>
      <c r="E146" s="68" t="n">
        <f aca="false">MAX(E144/$I$14,E145/설정!$B$60)*1000</f>
        <v>2.54795294117647</v>
      </c>
      <c r="F146" s="68" t="n">
        <f aca="false">MAX(F144/$I$14,F145/설정!$B$60)*1000</f>
        <v>2.54795294117647</v>
      </c>
      <c r="G146" s="68" t="n">
        <f aca="false">MAX(G144/$I$14,G145/설정!$B$60)*1000</f>
        <v>2.54795294117647</v>
      </c>
      <c r="H146" s="68" t="n">
        <f aca="false">MAX(H144/$I$14,H145/설정!$B$60)*1000</f>
        <v>2.54795294117647</v>
      </c>
      <c r="I146" s="2"/>
    </row>
    <row r="147" customFormat="false" ht="17.15" hidden="false" customHeight="false" outlineLevel="0" collapsed="false">
      <c r="A147" s="30" t="s">
        <v>311</v>
      </c>
      <c r="B147" s="67" t="n">
        <f aca="false">($D$15)*2*(1)*$B$15*$C$15</f>
        <v>7864320</v>
      </c>
      <c r="C147" s="67" t="n">
        <f aca="false">($D$15)*2*(1)*$B$15*$C$15</f>
        <v>7864320</v>
      </c>
      <c r="D147" s="67" t="n">
        <f aca="false">($D$15)*2*(1)*$B$15*$C$15</f>
        <v>7864320</v>
      </c>
      <c r="E147" s="67" t="n">
        <f aca="false">($D$15)*2*(1)*$B$15*$C$15</f>
        <v>7864320</v>
      </c>
      <c r="F147" s="67" t="n">
        <f aca="false">($D$15)*2*(1)*$B$15*$C$15</f>
        <v>7864320</v>
      </c>
      <c r="G147" s="67" t="n">
        <f aca="false">($D$15)*2*(1)*$B$15*$C$15</f>
        <v>7864320</v>
      </c>
      <c r="H147" s="67" t="n">
        <f aca="false">($D$15)*2*(1)*$B$15*$C$15</f>
        <v>7864320</v>
      </c>
      <c r="I147" s="2"/>
    </row>
    <row r="148" customFormat="false" ht="17.15" hidden="false" customHeight="false" outlineLevel="0" collapsed="false">
      <c r="A148" s="30" t="s">
        <v>312</v>
      </c>
      <c r="B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2090880</v>
      </c>
      <c r="C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2090880</v>
      </c>
      <c r="D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2090880</v>
      </c>
      <c r="E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2090880</v>
      </c>
      <c r="F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2090880</v>
      </c>
      <c r="G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2090880</v>
      </c>
      <c r="H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2090880</v>
      </c>
      <c r="I148" s="2"/>
    </row>
    <row r="149" customFormat="false" ht="17.15" hidden="false" customHeight="false" outlineLevel="0" collapsed="false">
      <c r="A149" s="30" t="s">
        <v>313</v>
      </c>
      <c r="B149" s="68" t="n">
        <f aca="false">MAX(B147/$I$15,B148/설정!$B$60)*1000</f>
        <v>0.0409976470588235</v>
      </c>
      <c r="C149" s="68" t="n">
        <f aca="false">MAX(C147/$I$15,C148/설정!$B$60)*1000</f>
        <v>0.0409976470588235</v>
      </c>
      <c r="D149" s="68" t="n">
        <f aca="false">MAX(D147/$I$15,D148/설정!$B$60)*1000</f>
        <v>0.0409976470588235</v>
      </c>
      <c r="E149" s="68" t="n">
        <f aca="false">MAX(E147/$I$15,E148/설정!$B$60)*1000</f>
        <v>0.0409976470588235</v>
      </c>
      <c r="F149" s="68" t="n">
        <f aca="false">MAX(F147/$I$15,F148/설정!$B$60)*1000</f>
        <v>0.0409976470588235</v>
      </c>
      <c r="G149" s="68" t="n">
        <f aca="false">MAX(G147/$I$15,G148/설정!$B$60)*1000</f>
        <v>0.0409976470588235</v>
      </c>
      <c r="H149" s="68" t="n">
        <f aca="false">MAX(H147/$I$15,H148/설정!$B$60)*1000</f>
        <v>0.0409976470588235</v>
      </c>
      <c r="I149" s="2"/>
    </row>
    <row r="150" customFormat="false" ht="17.15" hidden="false" customHeight="false" outlineLevel="0" collapsed="false">
      <c r="A150" s="30" t="s">
        <v>314</v>
      </c>
      <c r="B150" s="67" t="n">
        <f aca="false">($D$16)*2*(1)*$B$16*$C$16</f>
        <v>503316480</v>
      </c>
      <c r="C150" s="67" t="n">
        <f aca="false">($D$16)*2*(1)*$B$16*$C$16</f>
        <v>503316480</v>
      </c>
      <c r="D150" s="67" t="n">
        <f aca="false">($D$16)*2*(1)*$B$16*$C$16</f>
        <v>503316480</v>
      </c>
      <c r="E150" s="67" t="n">
        <f aca="false">($D$16)*2*(1)*$B$16*$C$16</f>
        <v>503316480</v>
      </c>
      <c r="F150" s="67" t="n">
        <f aca="false">($D$16)*2*(1)*$B$16*$C$16</f>
        <v>503316480</v>
      </c>
      <c r="G150" s="67" t="n">
        <f aca="false">($D$16)*2*(1)*$B$16*$C$16</f>
        <v>503316480</v>
      </c>
      <c r="H150" s="67" t="n">
        <f aca="false">($D$16)*2*(1)*$B$16*$C$16</f>
        <v>503316480</v>
      </c>
      <c r="I150" s="2"/>
    </row>
    <row r="151" customFormat="false" ht="17.15" hidden="false" customHeight="false" outlineLevel="0" collapsed="false">
      <c r="A151" s="30" t="s">
        <v>315</v>
      </c>
      <c r="B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129945600</v>
      </c>
      <c r="C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129945600</v>
      </c>
      <c r="D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129945600</v>
      </c>
      <c r="E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129945600</v>
      </c>
      <c r="F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129945600</v>
      </c>
      <c r="G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129945600</v>
      </c>
      <c r="H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129945600</v>
      </c>
      <c r="I151" s="2"/>
    </row>
    <row r="152" customFormat="false" ht="17.15" hidden="false" customHeight="false" outlineLevel="0" collapsed="false">
      <c r="A152" s="30" t="s">
        <v>316</v>
      </c>
      <c r="B152" s="68" t="n">
        <f aca="false">MAX(B150/$I$16,B151/설정!$B$60)*1000</f>
        <v>2.54795294117647</v>
      </c>
      <c r="C152" s="68" t="n">
        <f aca="false">MAX(C150/$I$16,C151/설정!$B$60)*1000</f>
        <v>2.54795294117647</v>
      </c>
      <c r="D152" s="68" t="n">
        <f aca="false">MAX(D150/$I$16,D151/설정!$B$60)*1000</f>
        <v>2.54795294117647</v>
      </c>
      <c r="E152" s="68" t="n">
        <f aca="false">MAX(E150/$I$16,E151/설정!$B$60)*1000</f>
        <v>2.54795294117647</v>
      </c>
      <c r="F152" s="68" t="n">
        <f aca="false">MAX(F150/$I$16,F151/설정!$B$60)*1000</f>
        <v>2.54795294117647</v>
      </c>
      <c r="G152" s="68" t="n">
        <f aca="false">MAX(G150/$I$16,G151/설정!$B$60)*1000</f>
        <v>2.54795294117647</v>
      </c>
      <c r="H152" s="68" t="n">
        <f aca="false">MAX(H150/$I$16,H151/설정!$B$60)*1000</f>
        <v>2.54795294117647</v>
      </c>
      <c r="I152" s="2"/>
    </row>
    <row r="153" customFormat="false" ht="17.15" hidden="false" customHeight="false" outlineLevel="0" collapsed="false">
      <c r="A153" s="30" t="s">
        <v>317</v>
      </c>
      <c r="B153" s="67" t="n">
        <f aca="false">($D$17)*2*(1)*$B$17*$C$17</f>
        <v>41943040</v>
      </c>
      <c r="C153" s="67" t="n">
        <f aca="false">($D$17)*2*(1)*$B$17*$C$17</f>
        <v>41943040</v>
      </c>
      <c r="D153" s="67" t="n">
        <f aca="false">($D$17)*2*(1)*$B$17*$C$17</f>
        <v>41943040</v>
      </c>
      <c r="E153" s="67" t="n">
        <f aca="false">($D$17)*2*(1)*$B$17*$C$17</f>
        <v>41943040</v>
      </c>
      <c r="F153" s="67" t="n">
        <f aca="false">($D$17)*2*(1)*$B$17*$C$17</f>
        <v>41943040</v>
      </c>
      <c r="G153" s="67" t="n">
        <f aca="false">($D$17)*2*(1)*$B$17*$C$17</f>
        <v>41943040</v>
      </c>
      <c r="H153" s="67" t="n">
        <f aca="false">($D$17)*2*(1)*$B$17*$C$17</f>
        <v>41943040</v>
      </c>
      <c r="I153" s="2"/>
    </row>
    <row r="154" customFormat="false" ht="17.15" hidden="false" customHeight="false" outlineLevel="0" collapsed="false">
      <c r="A154" s="30" t="s">
        <v>318</v>
      </c>
      <c r="B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21391360</v>
      </c>
      <c r="C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21391360</v>
      </c>
      <c r="D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21391360</v>
      </c>
      <c r="E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21391360</v>
      </c>
      <c r="F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21391360</v>
      </c>
      <c r="G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21391360</v>
      </c>
      <c r="H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21391360</v>
      </c>
      <c r="I154" s="2"/>
    </row>
    <row r="155" customFormat="false" ht="17.15" hidden="false" customHeight="false" outlineLevel="0" collapsed="false">
      <c r="A155" s="30" t="s">
        <v>319</v>
      </c>
      <c r="B155" s="68" t="n">
        <f aca="false">MAX(B153/$I$17,B154/설정!$B$60)*1000</f>
        <v>0.419438431372549</v>
      </c>
      <c r="C155" s="68" t="n">
        <f aca="false">MAX(C153/$I$17,C154/설정!$B$60)*1000</f>
        <v>0.419438431372549</v>
      </c>
      <c r="D155" s="68" t="n">
        <f aca="false">MAX(D153/$I$17,D154/설정!$B$60)*1000</f>
        <v>0.419438431372549</v>
      </c>
      <c r="E155" s="68" t="n">
        <f aca="false">MAX(E153/$I$17,E154/설정!$B$60)*1000</f>
        <v>0.419438431372549</v>
      </c>
      <c r="F155" s="68" t="n">
        <f aca="false">MAX(F153/$I$17,F154/설정!$B$60)*1000</f>
        <v>0.419438431372549</v>
      </c>
      <c r="G155" s="68" t="n">
        <f aca="false">MAX(G153/$I$17,G154/설정!$B$60)*1000</f>
        <v>0.419438431372549</v>
      </c>
      <c r="H155" s="68" t="n">
        <f aca="false">MAX(H153/$I$17,H154/설정!$B$60)*1000</f>
        <v>0.419438431372549</v>
      </c>
      <c r="I155" s="2"/>
    </row>
    <row r="156" customFormat="false" ht="17.15" hidden="false" customHeight="false" outlineLevel="0" collapsed="false">
      <c r="A156" s="30" t="s">
        <v>320</v>
      </c>
      <c r="B156" s="67" t="n">
        <f aca="false">($D$18)*2*(1)*$B$18*$C$18</f>
        <v>83886080</v>
      </c>
      <c r="C156" s="67" t="n">
        <f aca="false">($D$18)*2*(1)*$B$18*$C$18</f>
        <v>83886080</v>
      </c>
      <c r="D156" s="67" t="n">
        <f aca="false">($D$18)*2*(1)*$B$18*$C$18</f>
        <v>83886080</v>
      </c>
      <c r="E156" s="67" t="n">
        <f aca="false">($D$18)*2*(1)*$B$18*$C$18</f>
        <v>83886080</v>
      </c>
      <c r="F156" s="67" t="n">
        <f aca="false">($D$18)*2*(1)*$B$18*$C$18</f>
        <v>83886080</v>
      </c>
      <c r="G156" s="67" t="n">
        <f aca="false">($D$18)*2*(1)*$B$18*$C$18</f>
        <v>83886080</v>
      </c>
      <c r="H156" s="67" t="n">
        <f aca="false">($D$18)*2*(1)*$B$18*$C$18</f>
        <v>83886080</v>
      </c>
      <c r="I156" s="2"/>
    </row>
    <row r="157" customFormat="false" ht="17.15" hidden="false" customHeight="false" outlineLevel="0" collapsed="false">
      <c r="A157" s="30" t="s">
        <v>321</v>
      </c>
      <c r="B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21729280</v>
      </c>
      <c r="C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21729280</v>
      </c>
      <c r="D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21729280</v>
      </c>
      <c r="E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21729280</v>
      </c>
      <c r="F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21729280</v>
      </c>
      <c r="G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21729280</v>
      </c>
      <c r="H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21729280</v>
      </c>
      <c r="I157" s="2"/>
    </row>
    <row r="158" customFormat="false" ht="17.15" hidden="false" customHeight="false" outlineLevel="0" collapsed="false">
      <c r="A158" s="30" t="s">
        <v>322</v>
      </c>
      <c r="B158" s="68" t="n">
        <f aca="false">MAX(B156/$I$18,B157/설정!$B$60)*1000</f>
        <v>0.42606431372549</v>
      </c>
      <c r="C158" s="68" t="n">
        <f aca="false">MAX(C156/$I$18,C157/설정!$B$60)*1000</f>
        <v>0.42606431372549</v>
      </c>
      <c r="D158" s="68" t="n">
        <f aca="false">MAX(D156/$I$18,D157/설정!$B$60)*1000</f>
        <v>0.42606431372549</v>
      </c>
      <c r="E158" s="68" t="n">
        <f aca="false">MAX(E156/$I$18,E157/설정!$B$60)*1000</f>
        <v>0.42606431372549</v>
      </c>
      <c r="F158" s="68" t="n">
        <f aca="false">MAX(F156/$I$18,F157/설정!$B$60)*1000</f>
        <v>0.42606431372549</v>
      </c>
      <c r="G158" s="68" t="n">
        <f aca="false">MAX(G156/$I$18,G157/설정!$B$60)*1000</f>
        <v>0.42606431372549</v>
      </c>
      <c r="H158" s="68" t="n">
        <f aca="false">MAX(H156/$I$18,H157/설정!$B$60)*1000</f>
        <v>0.42606431372549</v>
      </c>
      <c r="I158" s="2"/>
    </row>
    <row r="159" customFormat="false" ht="17.15" hidden="false" customHeight="false" outlineLevel="0" collapsed="false">
      <c r="A159" s="30" t="s">
        <v>323</v>
      </c>
      <c r="B159" s="67" t="n">
        <f aca="false">($D$19)*2*(1)*$B$19*$C$19</f>
        <v>83886080</v>
      </c>
      <c r="C159" s="67" t="n">
        <f aca="false">($D$19)*2*(1)*$B$19*$C$19</f>
        <v>83886080</v>
      </c>
      <c r="D159" s="67" t="n">
        <f aca="false">($D$19)*2*(1)*$B$19*$C$19</f>
        <v>83886080</v>
      </c>
      <c r="E159" s="67" t="n">
        <f aca="false">($D$19)*2*(1)*$B$19*$C$19</f>
        <v>83886080</v>
      </c>
      <c r="F159" s="67" t="n">
        <f aca="false">($D$19)*2*(1)*$B$19*$C$19</f>
        <v>83886080</v>
      </c>
      <c r="G159" s="67" t="n">
        <f aca="false">($D$19)*2*(1)*$B$19*$C$19</f>
        <v>83886080</v>
      </c>
      <c r="H159" s="67" t="n">
        <f aca="false">($D$19)*2*(1)*$B$19*$C$19</f>
        <v>83886080</v>
      </c>
      <c r="I159" s="2"/>
    </row>
    <row r="160" customFormat="false" ht="17.15" hidden="false" customHeight="false" outlineLevel="0" collapsed="false">
      <c r="A160" s="30" t="s">
        <v>324</v>
      </c>
      <c r="B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21729280</v>
      </c>
      <c r="C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21729280</v>
      </c>
      <c r="D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21729280</v>
      </c>
      <c r="E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21729280</v>
      </c>
      <c r="F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21729280</v>
      </c>
      <c r="G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21729280</v>
      </c>
      <c r="H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21729280</v>
      </c>
      <c r="I160" s="2"/>
    </row>
    <row r="161" customFormat="false" ht="17.15" hidden="false" customHeight="false" outlineLevel="0" collapsed="false">
      <c r="A161" s="30" t="s">
        <v>325</v>
      </c>
      <c r="B161" s="68" t="n">
        <f aca="false">MAX(B159/$I$19,B160/설정!$B$60)*1000</f>
        <v>0.42606431372549</v>
      </c>
      <c r="C161" s="68" t="n">
        <f aca="false">MAX(C159/$I$19,C160/설정!$B$60)*1000</f>
        <v>0.42606431372549</v>
      </c>
      <c r="D161" s="68" t="n">
        <f aca="false">MAX(D159/$I$19,D160/설정!$B$60)*1000</f>
        <v>0.42606431372549</v>
      </c>
      <c r="E161" s="68" t="n">
        <f aca="false">MAX(E159/$I$19,E160/설정!$B$60)*1000</f>
        <v>0.42606431372549</v>
      </c>
      <c r="F161" s="68" t="n">
        <f aca="false">MAX(F159/$I$19,F160/설정!$B$60)*1000</f>
        <v>0.42606431372549</v>
      </c>
      <c r="G161" s="68" t="n">
        <f aca="false">MAX(G159/$I$19,G160/설정!$B$60)*1000</f>
        <v>0.42606431372549</v>
      </c>
      <c r="H161" s="68" t="n">
        <f aca="false">MAX(H159/$I$19,H160/설정!$B$60)*1000</f>
        <v>0.42606431372549</v>
      </c>
      <c r="I161" s="2"/>
    </row>
    <row r="162" customFormat="false" ht="17.15" hidden="false" customHeight="false" outlineLevel="0" collapsed="false">
      <c r="A162" s="30" t="s">
        <v>326</v>
      </c>
      <c r="B162" s="67" t="n">
        <f aca="false">($D$20)*2*(1)*$B$20*$C$20</f>
        <v>83886080</v>
      </c>
      <c r="C162" s="67" t="n">
        <f aca="false">($D$20)*2*(1)*$B$20*$C$20</f>
        <v>83886080</v>
      </c>
      <c r="D162" s="67" t="n">
        <f aca="false">($D$20)*2*(1)*$B$20*$C$20</f>
        <v>83886080</v>
      </c>
      <c r="E162" s="67" t="n">
        <f aca="false">($D$20)*2*(1)*$B$20*$C$20</f>
        <v>83886080</v>
      </c>
      <c r="F162" s="67" t="n">
        <f aca="false">($D$20)*2*(1)*$B$20*$C$20</f>
        <v>83886080</v>
      </c>
      <c r="G162" s="67" t="n">
        <f aca="false">($D$20)*2*(1)*$B$20*$C$20</f>
        <v>83886080</v>
      </c>
      <c r="H162" s="67" t="n">
        <f aca="false">($D$20)*2*(1)*$B$20*$C$20</f>
        <v>83886080</v>
      </c>
      <c r="I162" s="2"/>
    </row>
    <row r="163" customFormat="false" ht="17.15" hidden="false" customHeight="false" outlineLevel="0" collapsed="false">
      <c r="A163" s="30" t="s">
        <v>327</v>
      </c>
      <c r="B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21729280</v>
      </c>
      <c r="C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21729280</v>
      </c>
      <c r="D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21729280</v>
      </c>
      <c r="E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21729280</v>
      </c>
      <c r="F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21729280</v>
      </c>
      <c r="G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21729280</v>
      </c>
      <c r="H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21729280</v>
      </c>
      <c r="I163" s="2"/>
    </row>
    <row r="164" customFormat="false" ht="17.15" hidden="false" customHeight="false" outlineLevel="0" collapsed="false">
      <c r="A164" s="30" t="s">
        <v>328</v>
      </c>
      <c r="B164" s="68" t="n">
        <f aca="false">MAX(B162/$I$20,B163/설정!$B$60)*1000</f>
        <v>0.42606431372549</v>
      </c>
      <c r="C164" s="68" t="n">
        <f aca="false">MAX(C162/$I$20,C163/설정!$B$60)*1000</f>
        <v>0.42606431372549</v>
      </c>
      <c r="D164" s="68" t="n">
        <f aca="false">MAX(D162/$I$20,D163/설정!$B$60)*1000</f>
        <v>0.42606431372549</v>
      </c>
      <c r="E164" s="68" t="n">
        <f aca="false">MAX(E162/$I$20,E163/설정!$B$60)*1000</f>
        <v>0.42606431372549</v>
      </c>
      <c r="F164" s="68" t="n">
        <f aca="false">MAX(F162/$I$20,F163/설정!$B$60)*1000</f>
        <v>0.42606431372549</v>
      </c>
      <c r="G164" s="68" t="n">
        <f aca="false">MAX(G162/$I$20,G163/설정!$B$60)*1000</f>
        <v>0.42606431372549</v>
      </c>
      <c r="H164" s="68" t="n">
        <f aca="false">MAX(H162/$I$20,H163/설정!$B$60)*1000</f>
        <v>0.42606431372549</v>
      </c>
      <c r="I164" s="2"/>
    </row>
    <row r="165" customFormat="false" ht="17.15" hidden="false" customHeight="false" outlineLevel="0" collapsed="false">
      <c r="A165" s="30" t="s">
        <v>329</v>
      </c>
      <c r="B165" s="67" t="n">
        <f aca="false">($D$21*모델!$D$37)*2*(1)*$B$21*$C$21</f>
        <v>671088640</v>
      </c>
      <c r="C165" s="67" t="n">
        <f aca="false">($D$21*모델!$D$37)*2*(1)*$B$21*$C$21</f>
        <v>671088640</v>
      </c>
      <c r="D165" s="67" t="n">
        <f aca="false">($D$21*모델!$D$37)*2*(1)*$B$21*$C$21</f>
        <v>671088640</v>
      </c>
      <c r="E165" s="67" t="n">
        <f aca="false">($D$21*모델!$D$37)*2*(1)*$B$21*$C$21</f>
        <v>671088640</v>
      </c>
      <c r="F165" s="67" t="n">
        <f aca="false">($D$21*모델!$D$37)*2*(1)*$B$21*$C$21</f>
        <v>671088640</v>
      </c>
      <c r="G165" s="67" t="n">
        <f aca="false">($D$21*모델!$D$37)*2*(1)*$B$21*$C$21</f>
        <v>671088640</v>
      </c>
      <c r="H165" s="67" t="n">
        <f aca="false">($D$21*모델!$D$37)*2*(1)*$B$21*$C$21</f>
        <v>671088640</v>
      </c>
      <c r="I165" s="2"/>
    </row>
    <row r="166" customFormat="false" ht="17.15" hidden="false" customHeight="false" outlineLevel="0" collapsed="false">
      <c r="A166" s="30" t="s">
        <v>330</v>
      </c>
      <c r="B166" s="67" t="n">
        <f aca="false">($D$21*모델!$D$37)*MIN(($B$21*$C$21*$H$21)*MAX(1,ROUNDUP(((1)*$B$21*설정!$B$57)/설정!$B$61,0))+((1)*$B$21*설정!$B$57)+((1)*$C$21*설정!$B$57),($B$21*$C$21*$H$21)+((1)*$B$21*설정!$B$57)*MAX(1,ROUNDUP(($B$21*$C$21*$H$21)/설정!$B$61,0))+((1)*$C$21*설정!$B$57))</f>
        <v>173834240</v>
      </c>
      <c r="C166" s="67" t="n">
        <f aca="false">($D$21*모델!$D$37)*MIN(($B$21*$C$21*$H$21)*MAX(1,ROUNDUP(((1)*$B$21*설정!$B$57)/설정!$B$61,0))+((1)*$B$21*설정!$B$57)+((1)*$C$21*설정!$B$57),($B$21*$C$21*$H$21)+((1)*$B$21*설정!$B$57)*MAX(1,ROUNDUP(($B$21*$C$21*$H$21)/설정!$B$61,0))+((1)*$C$21*설정!$B$57))</f>
        <v>173834240</v>
      </c>
      <c r="D166" s="67" t="n">
        <f aca="false">($D$21*모델!$D$37)*MIN(($B$21*$C$21*$H$21)*MAX(1,ROUNDUP(((1)*$B$21*설정!$B$57)/설정!$B$61,0))+((1)*$B$21*설정!$B$57)+((1)*$C$21*설정!$B$57),($B$21*$C$21*$H$21)+((1)*$B$21*설정!$B$57)*MAX(1,ROUNDUP(($B$21*$C$21*$H$21)/설정!$B$61,0))+((1)*$C$21*설정!$B$57))</f>
        <v>173834240</v>
      </c>
      <c r="E166" s="67" t="n">
        <f aca="false">($D$21*모델!$D$37)*MIN(($B$21*$C$21*$H$21)*MAX(1,ROUNDUP(((1)*$B$21*설정!$B$57)/설정!$B$61,0))+((1)*$B$21*설정!$B$57)+((1)*$C$21*설정!$B$57),($B$21*$C$21*$H$21)+((1)*$B$21*설정!$B$57)*MAX(1,ROUNDUP(($B$21*$C$21*$H$21)/설정!$B$61,0))+((1)*$C$21*설정!$B$57))</f>
        <v>173834240</v>
      </c>
      <c r="F166" s="67" t="n">
        <f aca="false">($D$21*모델!$D$37)*MIN(($B$21*$C$21*$H$21)*MAX(1,ROUNDUP(((1)*$B$21*설정!$B$57)/설정!$B$61,0))+((1)*$B$21*설정!$B$57)+((1)*$C$21*설정!$B$57),($B$21*$C$21*$H$21)+((1)*$B$21*설정!$B$57)*MAX(1,ROUNDUP(($B$21*$C$21*$H$21)/설정!$B$61,0))+((1)*$C$21*설정!$B$57))</f>
        <v>173834240</v>
      </c>
      <c r="G166" s="67" t="n">
        <f aca="false">($D$21*모델!$D$37)*MIN(($B$21*$C$21*$H$21)*MAX(1,ROUNDUP(((1)*$B$21*설정!$B$57)/설정!$B$61,0))+((1)*$B$21*설정!$B$57)+((1)*$C$21*설정!$B$57),($B$21*$C$21*$H$21)+((1)*$B$21*설정!$B$57)*MAX(1,ROUNDUP(($B$21*$C$21*$H$21)/설정!$B$61,0))+((1)*$C$21*설정!$B$57))</f>
        <v>173834240</v>
      </c>
      <c r="H166" s="67" t="n">
        <f aca="false">($D$21*모델!$D$37)*MIN(($B$21*$C$21*$H$21)*MAX(1,ROUNDUP(((1)*$B$21*설정!$B$57)/설정!$B$61,0))+((1)*$B$21*설정!$B$57)+((1)*$C$21*설정!$B$57),($B$21*$C$21*$H$21)+((1)*$B$21*설정!$B$57)*MAX(1,ROUNDUP(($B$21*$C$21*$H$21)/설정!$B$61,0))+((1)*$C$21*설정!$B$57))</f>
        <v>173834240</v>
      </c>
      <c r="I166" s="2"/>
    </row>
    <row r="167" customFormat="false" ht="17.15" hidden="false" customHeight="false" outlineLevel="0" collapsed="false">
      <c r="A167" s="30" t="s">
        <v>331</v>
      </c>
      <c r="B167" s="68" t="n">
        <f aca="false">MAX(B165/$I$21,B166/설정!$B$60)*1000</f>
        <v>3.40851450980392</v>
      </c>
      <c r="C167" s="68" t="n">
        <f aca="false">MAX(C165/$I$21,C166/설정!$B$60)*1000</f>
        <v>3.40851450980392</v>
      </c>
      <c r="D167" s="68" t="n">
        <f aca="false">MAX(D165/$I$21,D166/설정!$B$60)*1000</f>
        <v>3.40851450980392</v>
      </c>
      <c r="E167" s="68" t="n">
        <f aca="false">MAX(E165/$I$21,E166/설정!$B$60)*1000</f>
        <v>3.40851450980392</v>
      </c>
      <c r="F167" s="68" t="n">
        <f aca="false">MAX(F165/$I$21,F166/설정!$B$60)*1000</f>
        <v>3.40851450980392</v>
      </c>
      <c r="G167" s="68" t="n">
        <f aca="false">MAX(G165/$I$21,G166/설정!$B$60)*1000</f>
        <v>3.40851450980392</v>
      </c>
      <c r="H167" s="68" t="n">
        <f aca="false">MAX(H165/$I$21,H166/설정!$B$60)*1000</f>
        <v>3.40851450980392</v>
      </c>
      <c r="I167" s="2"/>
    </row>
    <row r="168" customFormat="false" ht="17.15" hidden="false" customHeight="false" outlineLevel="0" collapsed="false">
      <c r="A168" s="30" t="s">
        <v>332</v>
      </c>
      <c r="B168" s="67" t="n">
        <f aca="false">($D$22*모델!$D$37)*2*(1)*$B$22*$C$22</f>
        <v>671088640</v>
      </c>
      <c r="C168" s="67" t="n">
        <f aca="false">($D$22*모델!$D$37)*2*(1)*$B$22*$C$22</f>
        <v>671088640</v>
      </c>
      <c r="D168" s="67" t="n">
        <f aca="false">($D$22*모델!$D$37)*2*(1)*$B$22*$C$22</f>
        <v>671088640</v>
      </c>
      <c r="E168" s="67" t="n">
        <f aca="false">($D$22*모델!$D$37)*2*(1)*$B$22*$C$22</f>
        <v>671088640</v>
      </c>
      <c r="F168" s="67" t="n">
        <f aca="false">($D$22*모델!$D$37)*2*(1)*$B$22*$C$22</f>
        <v>671088640</v>
      </c>
      <c r="G168" s="67" t="n">
        <f aca="false">($D$22*모델!$D$37)*2*(1)*$B$22*$C$22</f>
        <v>671088640</v>
      </c>
      <c r="H168" s="67" t="n">
        <f aca="false">($D$22*모델!$D$37)*2*(1)*$B$22*$C$22</f>
        <v>671088640</v>
      </c>
      <c r="I168" s="2"/>
    </row>
    <row r="169" customFormat="false" ht="17.15" hidden="false" customHeight="false" outlineLevel="0" collapsed="false">
      <c r="A169" s="30" t="s">
        <v>333</v>
      </c>
      <c r="B169" s="67" t="n">
        <f aca="false">($D$22*모델!$D$37)*MIN(($B$22*$C$22*$H$22)*MAX(1,ROUNDUP(((1)*$B$22*설정!$B$57)/설정!$B$61,0))+((1)*$B$22*설정!$B$57)+((1)*$C$22*설정!$B$57),($B$22*$C$22*$H$22)+((1)*$B$22*설정!$B$57)*MAX(1,ROUNDUP(($B$22*$C$22*$H$22)/설정!$B$61,0))+((1)*$C$22*설정!$B$57))</f>
        <v>173834240</v>
      </c>
      <c r="C169" s="67" t="n">
        <f aca="false">($D$22*모델!$D$37)*MIN(($B$22*$C$22*$H$22)*MAX(1,ROUNDUP(((1)*$B$22*설정!$B$57)/설정!$B$61,0))+((1)*$B$22*설정!$B$57)+((1)*$C$22*설정!$B$57),($B$22*$C$22*$H$22)+((1)*$B$22*설정!$B$57)*MAX(1,ROUNDUP(($B$22*$C$22*$H$22)/설정!$B$61,0))+((1)*$C$22*설정!$B$57))</f>
        <v>173834240</v>
      </c>
      <c r="D169" s="67" t="n">
        <f aca="false">($D$22*모델!$D$37)*MIN(($B$22*$C$22*$H$22)*MAX(1,ROUNDUP(((1)*$B$22*설정!$B$57)/설정!$B$61,0))+((1)*$B$22*설정!$B$57)+((1)*$C$22*설정!$B$57),($B$22*$C$22*$H$22)+((1)*$B$22*설정!$B$57)*MAX(1,ROUNDUP(($B$22*$C$22*$H$22)/설정!$B$61,0))+((1)*$C$22*설정!$B$57))</f>
        <v>173834240</v>
      </c>
      <c r="E169" s="67" t="n">
        <f aca="false">($D$22*모델!$D$37)*MIN(($B$22*$C$22*$H$22)*MAX(1,ROUNDUP(((1)*$B$22*설정!$B$57)/설정!$B$61,0))+((1)*$B$22*설정!$B$57)+((1)*$C$22*설정!$B$57),($B$22*$C$22*$H$22)+((1)*$B$22*설정!$B$57)*MAX(1,ROUNDUP(($B$22*$C$22*$H$22)/설정!$B$61,0))+((1)*$C$22*설정!$B$57))</f>
        <v>173834240</v>
      </c>
      <c r="F169" s="67" t="n">
        <f aca="false">($D$22*모델!$D$37)*MIN(($B$22*$C$22*$H$22)*MAX(1,ROUNDUP(((1)*$B$22*설정!$B$57)/설정!$B$61,0))+((1)*$B$22*설정!$B$57)+((1)*$C$22*설정!$B$57),($B$22*$C$22*$H$22)+((1)*$B$22*설정!$B$57)*MAX(1,ROUNDUP(($B$22*$C$22*$H$22)/설정!$B$61,0))+((1)*$C$22*설정!$B$57))</f>
        <v>173834240</v>
      </c>
      <c r="G169" s="67" t="n">
        <f aca="false">($D$22*모델!$D$37)*MIN(($B$22*$C$22*$H$22)*MAX(1,ROUNDUP(((1)*$B$22*설정!$B$57)/설정!$B$61,0))+((1)*$B$22*설정!$B$57)+((1)*$C$22*설정!$B$57),($B$22*$C$22*$H$22)+((1)*$B$22*설정!$B$57)*MAX(1,ROUNDUP(($B$22*$C$22*$H$22)/설정!$B$61,0))+((1)*$C$22*설정!$B$57))</f>
        <v>173834240</v>
      </c>
      <c r="H169" s="67" t="n">
        <f aca="false">($D$22*모델!$D$37)*MIN(($B$22*$C$22*$H$22)*MAX(1,ROUNDUP(((1)*$B$22*설정!$B$57)/설정!$B$61,0))+((1)*$B$22*설정!$B$57)+((1)*$C$22*설정!$B$57),($B$22*$C$22*$H$22)+((1)*$B$22*설정!$B$57)*MAX(1,ROUNDUP(($B$22*$C$22*$H$22)/설정!$B$61,0))+((1)*$C$22*설정!$B$57))</f>
        <v>173834240</v>
      </c>
      <c r="I169" s="2"/>
    </row>
    <row r="170" customFormat="false" ht="17.15" hidden="false" customHeight="false" outlineLevel="0" collapsed="false">
      <c r="A170" s="30" t="s">
        <v>334</v>
      </c>
      <c r="B170" s="68" t="n">
        <f aca="false">MAX(B168/$I$22,B169/설정!$B$60)*1000</f>
        <v>3.40851450980392</v>
      </c>
      <c r="C170" s="68" t="n">
        <f aca="false">MAX(C168/$I$22,C169/설정!$B$60)*1000</f>
        <v>3.40851450980392</v>
      </c>
      <c r="D170" s="68" t="n">
        <f aca="false">MAX(D168/$I$22,D169/설정!$B$60)*1000</f>
        <v>3.40851450980392</v>
      </c>
      <c r="E170" s="68" t="n">
        <f aca="false">MAX(E168/$I$22,E169/설정!$B$60)*1000</f>
        <v>3.40851450980392</v>
      </c>
      <c r="F170" s="68" t="n">
        <f aca="false">MAX(F168/$I$22,F169/설정!$B$60)*1000</f>
        <v>3.40851450980392</v>
      </c>
      <c r="G170" s="68" t="n">
        <f aca="false">MAX(G168/$I$22,G169/설정!$B$60)*1000</f>
        <v>3.40851450980392</v>
      </c>
      <c r="H170" s="68" t="n">
        <f aca="false">MAX(H168/$I$22,H169/설정!$B$60)*1000</f>
        <v>3.40851450980392</v>
      </c>
      <c r="I170" s="2"/>
    </row>
    <row r="171" customFormat="false" ht="17.15" hidden="false" customHeight="false" outlineLevel="0" collapsed="false">
      <c r="A171" s="30" t="s">
        <v>335</v>
      </c>
      <c r="B171" s="67" t="n">
        <f aca="false">($D$23*모델!$D$37)*2*(1)*$B$23*$C$23</f>
        <v>671088640</v>
      </c>
      <c r="C171" s="67" t="n">
        <f aca="false">($D$23*모델!$D$37)*2*(1)*$B$23*$C$23</f>
        <v>671088640</v>
      </c>
      <c r="D171" s="67" t="n">
        <f aca="false">($D$23*모델!$D$37)*2*(1)*$B$23*$C$23</f>
        <v>671088640</v>
      </c>
      <c r="E171" s="67" t="n">
        <f aca="false">($D$23*모델!$D$37)*2*(1)*$B$23*$C$23</f>
        <v>671088640</v>
      </c>
      <c r="F171" s="67" t="n">
        <f aca="false">($D$23*모델!$D$37)*2*(1)*$B$23*$C$23</f>
        <v>671088640</v>
      </c>
      <c r="G171" s="67" t="n">
        <f aca="false">($D$23*모델!$D$37)*2*(1)*$B$23*$C$23</f>
        <v>671088640</v>
      </c>
      <c r="H171" s="67" t="n">
        <f aca="false">($D$23*모델!$D$37)*2*(1)*$B$23*$C$23</f>
        <v>671088640</v>
      </c>
      <c r="I171" s="2"/>
    </row>
    <row r="172" customFormat="false" ht="17.15" hidden="false" customHeight="false" outlineLevel="0" collapsed="false">
      <c r="A172" s="30" t="s">
        <v>336</v>
      </c>
      <c r="B172" s="67" t="n">
        <f aca="false">($D$23*모델!$D$37)*MIN(($B$23*$C$23*$H$23)*MAX(1,ROUNDUP(((1)*$B$23*설정!$B$57)/설정!$B$61,0))+((1)*$B$23*설정!$B$57)+((1)*$C$23*설정!$B$57),($B$23*$C$23*$H$23)+((1)*$B$23*설정!$B$57)*MAX(1,ROUNDUP(($B$23*$C$23*$H$23)/설정!$B$61,0))+((1)*$C$23*설정!$B$57))</f>
        <v>173834240</v>
      </c>
      <c r="C172" s="67" t="n">
        <f aca="false">($D$23*모델!$D$37)*MIN(($B$23*$C$23*$H$23)*MAX(1,ROUNDUP(((1)*$B$23*설정!$B$57)/설정!$B$61,0))+((1)*$B$23*설정!$B$57)+((1)*$C$23*설정!$B$57),($B$23*$C$23*$H$23)+((1)*$B$23*설정!$B$57)*MAX(1,ROUNDUP(($B$23*$C$23*$H$23)/설정!$B$61,0))+((1)*$C$23*설정!$B$57))</f>
        <v>173834240</v>
      </c>
      <c r="D172" s="67" t="n">
        <f aca="false">($D$23*모델!$D$37)*MIN(($B$23*$C$23*$H$23)*MAX(1,ROUNDUP(((1)*$B$23*설정!$B$57)/설정!$B$61,0))+((1)*$B$23*설정!$B$57)+((1)*$C$23*설정!$B$57),($B$23*$C$23*$H$23)+((1)*$B$23*설정!$B$57)*MAX(1,ROUNDUP(($B$23*$C$23*$H$23)/설정!$B$61,0))+((1)*$C$23*설정!$B$57))</f>
        <v>173834240</v>
      </c>
      <c r="E172" s="67" t="n">
        <f aca="false">($D$23*모델!$D$37)*MIN(($B$23*$C$23*$H$23)*MAX(1,ROUNDUP(((1)*$B$23*설정!$B$57)/설정!$B$61,0))+((1)*$B$23*설정!$B$57)+((1)*$C$23*설정!$B$57),($B$23*$C$23*$H$23)+((1)*$B$23*설정!$B$57)*MAX(1,ROUNDUP(($B$23*$C$23*$H$23)/설정!$B$61,0))+((1)*$C$23*설정!$B$57))</f>
        <v>173834240</v>
      </c>
      <c r="F172" s="67" t="n">
        <f aca="false">($D$23*모델!$D$37)*MIN(($B$23*$C$23*$H$23)*MAX(1,ROUNDUP(((1)*$B$23*설정!$B$57)/설정!$B$61,0))+((1)*$B$23*설정!$B$57)+((1)*$C$23*설정!$B$57),($B$23*$C$23*$H$23)+((1)*$B$23*설정!$B$57)*MAX(1,ROUNDUP(($B$23*$C$23*$H$23)/설정!$B$61,0))+((1)*$C$23*설정!$B$57))</f>
        <v>173834240</v>
      </c>
      <c r="G172" s="67" t="n">
        <f aca="false">($D$23*모델!$D$37)*MIN(($B$23*$C$23*$H$23)*MAX(1,ROUNDUP(((1)*$B$23*설정!$B$57)/설정!$B$61,0))+((1)*$B$23*설정!$B$57)+((1)*$C$23*설정!$B$57),($B$23*$C$23*$H$23)+((1)*$B$23*설정!$B$57)*MAX(1,ROUNDUP(($B$23*$C$23*$H$23)/설정!$B$61,0))+((1)*$C$23*설정!$B$57))</f>
        <v>173834240</v>
      </c>
      <c r="H172" s="67" t="n">
        <f aca="false">($D$23*모델!$D$37)*MIN(($B$23*$C$23*$H$23)*MAX(1,ROUNDUP(((1)*$B$23*설정!$B$57)/설정!$B$61,0))+((1)*$B$23*설정!$B$57)+((1)*$C$23*설정!$B$57),($B$23*$C$23*$H$23)+((1)*$B$23*설정!$B$57)*MAX(1,ROUNDUP(($B$23*$C$23*$H$23)/설정!$B$61,0))+((1)*$C$23*설정!$B$57))</f>
        <v>173834240</v>
      </c>
      <c r="I172" s="2"/>
    </row>
    <row r="173" customFormat="false" ht="17.15" hidden="false" customHeight="false" outlineLevel="0" collapsed="false">
      <c r="A173" s="30" t="s">
        <v>337</v>
      </c>
      <c r="B173" s="68" t="n">
        <f aca="false">MAX(B171/$I$23,B172/설정!$B$60)*1000</f>
        <v>3.40851450980392</v>
      </c>
      <c r="C173" s="68" t="n">
        <f aca="false">MAX(C171/$I$23,C172/설정!$B$60)*1000</f>
        <v>3.40851450980392</v>
      </c>
      <c r="D173" s="68" t="n">
        <f aca="false">MAX(D171/$I$23,D172/설정!$B$60)*1000</f>
        <v>3.40851450980392</v>
      </c>
      <c r="E173" s="68" t="n">
        <f aca="false">MAX(E171/$I$23,E172/설정!$B$60)*1000</f>
        <v>3.40851450980392</v>
      </c>
      <c r="F173" s="68" t="n">
        <f aca="false">MAX(F171/$I$23,F172/설정!$B$60)*1000</f>
        <v>3.40851450980392</v>
      </c>
      <c r="G173" s="68" t="n">
        <f aca="false">MAX(G171/$I$23,G172/설정!$B$60)*1000</f>
        <v>3.40851450980392</v>
      </c>
      <c r="H173" s="68" t="n">
        <f aca="false">MAX(H171/$I$23,H172/설정!$B$60)*1000</f>
        <v>3.40851450980392</v>
      </c>
      <c r="I173" s="2"/>
    </row>
    <row r="174" customFormat="false" ht="17.15" hidden="false" customHeight="false" outlineLevel="0" collapsed="false">
      <c r="A174" s="30" t="s">
        <v>338</v>
      </c>
      <c r="B174" s="67" t="n">
        <f aca="false">($D$24)*2*(1)*$B$24*$C$24</f>
        <v>1017118720</v>
      </c>
      <c r="C174" s="67" t="n">
        <f aca="false">($D$24)*2*(1)*$B$24*$C$24</f>
        <v>1017118720</v>
      </c>
      <c r="D174" s="67" t="n">
        <f aca="false">($D$24)*2*(1)*$B$24*$C$24</f>
        <v>1017118720</v>
      </c>
      <c r="E174" s="67" t="n">
        <f aca="false">($D$24)*2*(1)*$B$24*$C$24</f>
        <v>1017118720</v>
      </c>
      <c r="F174" s="67" t="n">
        <f aca="false">($D$24)*2*(1)*$B$24*$C$24</f>
        <v>1017118720</v>
      </c>
      <c r="G174" s="67" t="n">
        <f aca="false">($D$24)*2*(1)*$B$24*$C$24</f>
        <v>1017118720</v>
      </c>
      <c r="H174" s="67" t="n">
        <f aca="false">($D$24)*2*(1)*$B$24*$C$24</f>
        <v>1017118720</v>
      </c>
      <c r="I174" s="2"/>
    </row>
    <row r="175" customFormat="false" ht="17.15" hidden="false" customHeight="false" outlineLevel="0" collapsed="false">
      <c r="A175" s="30" t="s">
        <v>339</v>
      </c>
      <c r="B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C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D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E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F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G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H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262476288</v>
      </c>
      <c r="I175" s="2"/>
    </row>
    <row r="176" customFormat="false" ht="17.15" hidden="false" customHeight="false" outlineLevel="0" collapsed="false">
      <c r="A176" s="30" t="s">
        <v>340</v>
      </c>
      <c r="B176" s="68" t="n">
        <f aca="false">MAX(B174/$I$24,B175/설정!$B$60)*1000</f>
        <v>5.14659388235294</v>
      </c>
      <c r="C176" s="68" t="n">
        <f aca="false">MAX(C174/$I$24,C175/설정!$B$60)*1000</f>
        <v>5.14659388235294</v>
      </c>
      <c r="D176" s="68" t="n">
        <f aca="false">MAX(D174/$I$24,D175/설정!$B$60)*1000</f>
        <v>5.14659388235294</v>
      </c>
      <c r="E176" s="68" t="n">
        <f aca="false">MAX(E174/$I$24,E175/설정!$B$60)*1000</f>
        <v>5.14659388235294</v>
      </c>
      <c r="F176" s="68" t="n">
        <f aca="false">MAX(F174/$I$24,F175/설정!$B$60)*1000</f>
        <v>5.14659388235294</v>
      </c>
      <c r="G176" s="68" t="n">
        <f aca="false">MAX(G174/$I$24,G175/설정!$B$60)*1000</f>
        <v>5.14659388235294</v>
      </c>
      <c r="H176" s="68" t="n">
        <f aca="false">MAX(H174/$I$24,H175/설정!$B$60)*1000</f>
        <v>5.14659388235294</v>
      </c>
      <c r="I176" s="2"/>
    </row>
    <row r="177" customFormat="false" ht="17.15" hidden="false" customHeight="false" outlineLevel="0" collapsed="false">
      <c r="A177" s="30" t="s">
        <v>342</v>
      </c>
      <c r="B177" s="67" t="n">
        <f aca="false">모델!$D$12*4*모델!$D$13*모델!$D$15*B116</f>
        <v>41943040</v>
      </c>
      <c r="C177" s="67" t="n">
        <f aca="false">모델!$D$12*4*모델!$D$13*모델!$D$15*C116</f>
        <v>62914560</v>
      </c>
      <c r="D177" s="67" t="n">
        <f aca="false">모델!$D$12*4*모델!$D$13*모델!$D$15*D116</f>
        <v>104857600</v>
      </c>
      <c r="E177" s="67" t="n">
        <f aca="false">모델!$D$12*4*모델!$D$13*모델!$D$15*E116</f>
        <v>188743680</v>
      </c>
      <c r="F177" s="67" t="n">
        <f aca="false">모델!$D$12*4*모델!$D$13*모델!$D$15*F116</f>
        <v>356515840</v>
      </c>
      <c r="G177" s="67" t="n">
        <f aca="false">모델!$D$12*4*모델!$D$13*모델!$D$15*G116</f>
        <v>692060160</v>
      </c>
      <c r="H177" s="67" t="n">
        <f aca="false">모델!$D$12*4*모델!$D$13*모델!$D$15*H116</f>
        <v>1363148800</v>
      </c>
      <c r="I177" s="2"/>
    </row>
    <row r="178" customFormat="false" ht="17.15" hidden="false" customHeight="false" outlineLevel="0" collapsed="false">
      <c r="A178" s="30" t="s">
        <v>364</v>
      </c>
      <c r="B178" s="67" t="n">
        <f aca="false">모델!$D$12*(B116*2*모델!$D$14*모델!$D$15*설정!$B$58+2*모델!$D$13*모델!$D$15*설정!$B$57)</f>
        <v>2703360</v>
      </c>
      <c r="C178" s="67" t="n">
        <f aca="false">모델!$D$12*(C116*2*모델!$D$14*모델!$D$15*설정!$B$58+2*모델!$D$13*모델!$D$15*설정!$B$57)</f>
        <v>4014080</v>
      </c>
      <c r="D178" s="67" t="n">
        <f aca="false">모델!$D$12*(D116*2*모델!$D$14*모델!$D$15*설정!$B$58+2*모델!$D$13*모델!$D$15*설정!$B$57)</f>
        <v>6635520</v>
      </c>
      <c r="E178" s="67" t="n">
        <f aca="false">모델!$D$12*(E116*2*모델!$D$14*모델!$D$15*설정!$B$58+2*모델!$D$13*모델!$D$15*설정!$B$57)</f>
        <v>11878400</v>
      </c>
      <c r="F178" s="67" t="n">
        <f aca="false">모델!$D$12*(F116*2*모델!$D$14*모델!$D$15*설정!$B$58+2*모델!$D$13*모델!$D$15*설정!$B$57)</f>
        <v>22364160</v>
      </c>
      <c r="G178" s="67" t="n">
        <f aca="false">모델!$D$12*(G116*2*모델!$D$14*모델!$D$15*설정!$B$58+2*모델!$D$13*모델!$D$15*설정!$B$57)</f>
        <v>43335680</v>
      </c>
      <c r="H178" s="67" t="n">
        <f aca="false">모델!$D$12*(H116*2*모델!$D$14*모델!$D$15*설정!$B$58+2*모델!$D$13*모델!$D$15*설정!$B$57)</f>
        <v>85278720</v>
      </c>
      <c r="I178" s="2"/>
    </row>
    <row r="179" customFormat="false" ht="17.15" hidden="false" customHeight="false" outlineLevel="0" collapsed="false">
      <c r="A179" s="30" t="s">
        <v>344</v>
      </c>
      <c r="B179" s="68" t="n">
        <f aca="false">MAX(B177/설정!$B$68,B178/설정!$B$60)*1000</f>
        <v>0.0530070588235294</v>
      </c>
      <c r="C179" s="68" t="n">
        <f aca="false">MAX(C177/설정!$B$68,C178/설정!$B$60)*1000</f>
        <v>0.0787074509803922</v>
      </c>
      <c r="D179" s="68" t="n">
        <f aca="false">MAX(D177/설정!$B$68,D178/설정!$B$60)*1000</f>
        <v>0.130108235294118</v>
      </c>
      <c r="E179" s="68" t="n">
        <f aca="false">MAX(E177/설정!$B$68,E178/설정!$B$60)*1000</f>
        <v>0.232909803921569</v>
      </c>
      <c r="F179" s="68" t="n">
        <f aca="false">MAX(F177/설정!$B$68,F178/설정!$B$60)*1000</f>
        <v>0.438512941176471</v>
      </c>
      <c r="G179" s="68" t="n">
        <f aca="false">MAX(G177/설정!$B$68,G178/설정!$B$60)*1000</f>
        <v>0.849719215686275</v>
      </c>
      <c r="H179" s="68" t="n">
        <f aca="false">MAX(H177/설정!$B$68,H178/설정!$B$60)*1000</f>
        <v>1.67213176470588</v>
      </c>
      <c r="I179" s="2"/>
    </row>
    <row r="180" customFormat="false" ht="17.15" hidden="false" customHeight="false" outlineLevel="0" collapsed="false">
      <c r="A180" s="30" t="s">
        <v>365</v>
      </c>
      <c r="B180" s="69" t="n">
        <f aca="false">MIN(B116,모델!$D$20)</f>
        <v>0</v>
      </c>
      <c r="C180" s="69" t="n">
        <f aca="false">MIN(C116,모델!$D$20)</f>
        <v>0</v>
      </c>
      <c r="D180" s="69" t="n">
        <f aca="false">MIN(D116,모델!$D$20)</f>
        <v>0</v>
      </c>
      <c r="E180" s="69" t="n">
        <f aca="false">MIN(E116,모델!$D$20)</f>
        <v>0</v>
      </c>
      <c r="F180" s="69" t="n">
        <f aca="false">MIN(F116,모델!$D$20)</f>
        <v>0</v>
      </c>
      <c r="G180" s="69" t="n">
        <f aca="false">MIN(G116,모델!$D$20)</f>
        <v>0</v>
      </c>
      <c r="H180" s="69" t="n">
        <f aca="false">MIN(H116,모델!$D$20)</f>
        <v>0</v>
      </c>
      <c r="I180" s="2"/>
    </row>
    <row r="181" customFormat="false" ht="17.15" hidden="false" customHeight="false" outlineLevel="0" collapsed="false">
      <c r="A181" s="30" t="s">
        <v>346</v>
      </c>
      <c r="B181" s="67" t="n">
        <f aca="false">모델!$D$19*4*모델!$D$21*모델!$D$23*B180</f>
        <v>0</v>
      </c>
      <c r="C181" s="67" t="n">
        <f aca="false">모델!$D$19*4*모델!$D$21*모델!$D$23*C180</f>
        <v>0</v>
      </c>
      <c r="D181" s="67" t="n">
        <f aca="false">모델!$D$19*4*모델!$D$21*모델!$D$23*D180</f>
        <v>0</v>
      </c>
      <c r="E181" s="67" t="n">
        <f aca="false">모델!$D$19*4*모델!$D$21*모델!$D$23*E180</f>
        <v>0</v>
      </c>
      <c r="F181" s="67" t="n">
        <f aca="false">모델!$D$19*4*모델!$D$21*모델!$D$23*F180</f>
        <v>0</v>
      </c>
      <c r="G181" s="67" t="n">
        <f aca="false">모델!$D$19*4*모델!$D$21*모델!$D$23*G180</f>
        <v>0</v>
      </c>
      <c r="H181" s="67" t="n">
        <f aca="false">모델!$D$19*4*모델!$D$21*모델!$D$23*H180</f>
        <v>0</v>
      </c>
      <c r="I181" s="2"/>
    </row>
    <row r="182" customFormat="false" ht="17.15" hidden="false" customHeight="false" outlineLevel="0" collapsed="false">
      <c r="A182" s="30" t="s">
        <v>366</v>
      </c>
      <c r="B182" s="67" t="n">
        <f aca="false">모델!$D$19*(B180*2*모델!$D$22*모델!$D$23*설정!$B$58+2*모델!$D$21*모델!$D$23*설정!$B$57)</f>
        <v>0</v>
      </c>
      <c r="C182" s="67" t="n">
        <f aca="false">모델!$D$19*(C180*2*모델!$D$22*모델!$D$23*설정!$B$58+2*모델!$D$21*모델!$D$23*설정!$B$57)</f>
        <v>0</v>
      </c>
      <c r="D182" s="67" t="n">
        <f aca="false">모델!$D$19*(D180*2*모델!$D$22*모델!$D$23*설정!$B$58+2*모델!$D$21*모델!$D$23*설정!$B$57)</f>
        <v>0</v>
      </c>
      <c r="E182" s="67" t="n">
        <f aca="false">모델!$D$19*(E180*2*모델!$D$22*모델!$D$23*설정!$B$58+2*모델!$D$21*모델!$D$23*설정!$B$57)</f>
        <v>0</v>
      </c>
      <c r="F182" s="67" t="n">
        <f aca="false">모델!$D$19*(F180*2*모델!$D$22*모델!$D$23*설정!$B$58+2*모델!$D$21*모델!$D$23*설정!$B$57)</f>
        <v>0</v>
      </c>
      <c r="G182" s="67" t="n">
        <f aca="false">모델!$D$19*(G180*2*모델!$D$22*모델!$D$23*설정!$B$58+2*모델!$D$21*모델!$D$23*설정!$B$57)</f>
        <v>0</v>
      </c>
      <c r="H182" s="67" t="n">
        <f aca="false">모델!$D$19*(H180*2*모델!$D$22*모델!$D$23*설정!$B$58+2*모델!$D$21*모델!$D$23*설정!$B$57)</f>
        <v>0</v>
      </c>
      <c r="I182" s="2"/>
    </row>
    <row r="183" customFormat="false" ht="17.15" hidden="false" customHeight="false" outlineLevel="0" collapsed="false">
      <c r="A183" s="30" t="s">
        <v>348</v>
      </c>
      <c r="B183" s="68" t="n">
        <f aca="false">MAX(B181/설정!$B$68,B182/설정!$B$60)*1000</f>
        <v>0</v>
      </c>
      <c r="C183" s="68" t="n">
        <f aca="false">MAX(C181/설정!$B$68,C182/설정!$B$60)*1000</f>
        <v>0</v>
      </c>
      <c r="D183" s="68" t="n">
        <f aca="false">MAX(D181/설정!$B$68,D182/설정!$B$60)*1000</f>
        <v>0</v>
      </c>
      <c r="E183" s="68" t="n">
        <f aca="false">MAX(E181/설정!$B$68,E182/설정!$B$60)*1000</f>
        <v>0</v>
      </c>
      <c r="F183" s="68" t="n">
        <f aca="false">MAX(F181/설정!$B$68,F182/설정!$B$60)*1000</f>
        <v>0</v>
      </c>
      <c r="G183" s="68" t="n">
        <f aca="false">MAX(G181/설정!$B$68,G182/설정!$B$60)*1000</f>
        <v>0</v>
      </c>
      <c r="H183" s="68" t="n">
        <f aca="false">MAX(H181/설정!$B$68,H182/설정!$B$60)*1000</f>
        <v>0</v>
      </c>
      <c r="I183" s="2"/>
    </row>
    <row r="184" customFormat="false" ht="17.15" hidden="false" customHeight="false" outlineLevel="0" collapsed="false">
      <c r="A184" s="30" t="s">
        <v>367</v>
      </c>
      <c r="B184" s="67" t="n">
        <f aca="false">모델!$D$26*(모델!$D$29*7*모델!$D$28*모델!$D$30+2*모델!$D$31*모델!$D$52)</f>
        <v>112066560</v>
      </c>
      <c r="C184" s="67" t="n">
        <f aca="false">모델!$D$26*(모델!$D$29*7*모델!$D$28*모델!$D$30+2*모델!$D$31*모델!$D$52)</f>
        <v>112066560</v>
      </c>
      <c r="D184" s="67" t="n">
        <f aca="false">모델!$D$26*(모델!$D$29*7*모델!$D$28*모델!$D$30+2*모델!$D$31*모델!$D$52)</f>
        <v>112066560</v>
      </c>
      <c r="E184" s="67" t="n">
        <f aca="false">모델!$D$26*(모델!$D$29*7*모델!$D$28*모델!$D$30+2*모델!$D$31*모델!$D$52)</f>
        <v>112066560</v>
      </c>
      <c r="F184" s="67" t="n">
        <f aca="false">모델!$D$26*(모델!$D$29*7*모델!$D$28*모델!$D$30+2*모델!$D$31*모델!$D$52)</f>
        <v>112066560</v>
      </c>
      <c r="G184" s="67" t="n">
        <f aca="false">모델!$D$26*(모델!$D$29*7*모델!$D$28*모델!$D$30+2*모델!$D$31*모델!$D$52)</f>
        <v>112066560</v>
      </c>
      <c r="H184" s="67" t="n">
        <f aca="false">모델!$D$26*(모델!$D$29*7*모델!$D$28*모델!$D$30+2*모델!$D$31*모델!$D$52)</f>
        <v>112066560</v>
      </c>
      <c r="I184" s="2"/>
    </row>
    <row r="185" customFormat="false" ht="17.15" hidden="false" customHeight="false" outlineLevel="0" collapsed="false">
      <c r="A185" s="30" t="s">
        <v>368</v>
      </c>
      <c r="B185" s="67" t="n">
        <f aca="false">모델!$D$26*(2*모델!$D$29*모델!$D$28*모델!$D$30*설정!$B$59+2*MAX(0,모델!$D$31-1)*모델!$D$52*설정!$B$57+(모델!$D$52+2*모델!$D$29+모델!$D$29*모델!$D$30)*설정!$B$57)</f>
        <v>127674240</v>
      </c>
      <c r="C185" s="67" t="n">
        <f aca="false">모델!$D$26*(2*모델!$D$29*모델!$D$28*모델!$D$30*설정!$B$59+2*MAX(0,모델!$D$31-1)*모델!$D$52*설정!$B$57+(모델!$D$52+2*모델!$D$29+모델!$D$29*모델!$D$30)*설정!$B$57)</f>
        <v>127674240</v>
      </c>
      <c r="D185" s="67" t="n">
        <f aca="false">모델!$D$26*(2*모델!$D$29*모델!$D$28*모델!$D$30*설정!$B$59+2*MAX(0,모델!$D$31-1)*모델!$D$52*설정!$B$57+(모델!$D$52+2*모델!$D$29+모델!$D$29*모델!$D$30)*설정!$B$57)</f>
        <v>127674240</v>
      </c>
      <c r="E185" s="67" t="n">
        <f aca="false">모델!$D$26*(2*모델!$D$29*모델!$D$28*모델!$D$30*설정!$B$59+2*MAX(0,모델!$D$31-1)*모델!$D$52*설정!$B$57+(모델!$D$52+2*모델!$D$29+모델!$D$29*모델!$D$30)*설정!$B$57)</f>
        <v>127674240</v>
      </c>
      <c r="F185" s="67" t="n">
        <f aca="false">모델!$D$26*(2*모델!$D$29*모델!$D$28*모델!$D$30*설정!$B$59+2*MAX(0,모델!$D$31-1)*모델!$D$52*설정!$B$57+(모델!$D$52+2*모델!$D$29+모델!$D$29*모델!$D$30)*설정!$B$57)</f>
        <v>127674240</v>
      </c>
      <c r="G185" s="67" t="n">
        <f aca="false">모델!$D$26*(2*모델!$D$29*모델!$D$28*모델!$D$30*설정!$B$59+2*MAX(0,모델!$D$31-1)*모델!$D$52*설정!$B$57+(모델!$D$52+2*모델!$D$29+모델!$D$29*모델!$D$30)*설정!$B$57)</f>
        <v>127674240</v>
      </c>
      <c r="H185" s="67" t="n">
        <f aca="false">모델!$D$26*(2*모델!$D$29*모델!$D$28*모델!$D$30*설정!$B$59+2*MAX(0,모델!$D$31-1)*모델!$D$52*설정!$B$57+(모델!$D$52+2*모델!$D$29+모델!$D$29*모델!$D$30)*설정!$B$57)</f>
        <v>127674240</v>
      </c>
      <c r="I185" s="2"/>
    </row>
    <row r="186" customFormat="false" ht="17.15" hidden="false" customHeight="false" outlineLevel="0" collapsed="false">
      <c r="A186" s="30" t="s">
        <v>369</v>
      </c>
      <c r="B186" s="68" t="n">
        <f aca="false">MAX(B184/설정!$B$69,B185/설정!$B$60)*1000</f>
        <v>2.50341647058824</v>
      </c>
      <c r="C186" s="68" t="n">
        <f aca="false">MAX(C184/설정!$B$69,C185/설정!$B$60)*1000</f>
        <v>2.50341647058824</v>
      </c>
      <c r="D186" s="68" t="n">
        <f aca="false">MAX(D184/설정!$B$69,D185/설정!$B$60)*1000</f>
        <v>2.50341647058824</v>
      </c>
      <c r="E186" s="68" t="n">
        <f aca="false">MAX(E184/설정!$B$69,E185/설정!$B$60)*1000</f>
        <v>2.50341647058824</v>
      </c>
      <c r="F186" s="68" t="n">
        <f aca="false">MAX(F184/설정!$B$69,F185/설정!$B$60)*1000</f>
        <v>2.50341647058824</v>
      </c>
      <c r="G186" s="68" t="n">
        <f aca="false">MAX(G184/설정!$B$69,G185/설정!$B$60)*1000</f>
        <v>2.50341647058824</v>
      </c>
      <c r="H186" s="68" t="n">
        <f aca="false">MAX(H184/설정!$B$69,H185/설정!$B$60)*1000</f>
        <v>2.50341647058824</v>
      </c>
      <c r="I186" s="2"/>
    </row>
    <row r="187" customFormat="false" ht="17.15" hidden="false" customHeight="false" outlineLevel="0" collapsed="false">
      <c r="A187" s="30" t="s">
        <v>370</v>
      </c>
      <c r="B187" s="68" t="n">
        <f aca="false">모델!$D$49*IF(설정!$B$40="CPU",설정!$B$41/1000+((1)*모델!$D$36*설정!$B$43/8+(1)*모델!$D$37*설정!$B$44)/(설정!$B$42*1000000000)*1000+(1)*모델!$D$36*설정!$B$45/1000000,설정!$B$46/1000)</f>
        <v>4.02272</v>
      </c>
      <c r="C187" s="68" t="n">
        <f aca="false">모델!$D$49*IF(설정!$B$40="CPU",설정!$B$41/1000+((1)*모델!$D$36*설정!$B$43/8+(1)*모델!$D$37*설정!$B$44)/(설정!$B$42*1000000000)*1000+(1)*모델!$D$36*설정!$B$45/1000000,설정!$B$46/1000)</f>
        <v>4.02272</v>
      </c>
      <c r="D187" s="68" t="n">
        <f aca="false">모델!$D$49*IF(설정!$B$40="CPU",설정!$B$41/1000+((1)*모델!$D$36*설정!$B$43/8+(1)*모델!$D$37*설정!$B$44)/(설정!$B$42*1000000000)*1000+(1)*모델!$D$36*설정!$B$45/1000000,설정!$B$46/1000)</f>
        <v>4.02272</v>
      </c>
      <c r="E187" s="68" t="n">
        <f aca="false">모델!$D$49*IF(설정!$B$40="CPU",설정!$B$41/1000+((1)*모델!$D$36*설정!$B$43/8+(1)*모델!$D$37*설정!$B$44)/(설정!$B$42*1000000000)*1000+(1)*모델!$D$36*설정!$B$45/1000000,설정!$B$46/1000)</f>
        <v>4.02272</v>
      </c>
      <c r="F187" s="68" t="n">
        <f aca="false">모델!$D$49*IF(설정!$B$40="CPU",설정!$B$41/1000+((1)*모델!$D$36*설정!$B$43/8+(1)*모델!$D$37*설정!$B$44)/(설정!$B$42*1000000000)*1000+(1)*모델!$D$36*설정!$B$45/1000000,설정!$B$46/1000)</f>
        <v>4.02272</v>
      </c>
      <c r="G187" s="68" t="n">
        <f aca="false">모델!$D$49*IF(설정!$B$40="CPU",설정!$B$41/1000+((1)*모델!$D$36*설정!$B$43/8+(1)*모델!$D$37*설정!$B$44)/(설정!$B$42*1000000000)*1000+(1)*모델!$D$36*설정!$B$45/1000000,설정!$B$46/1000)</f>
        <v>4.02272</v>
      </c>
      <c r="H187" s="68" t="n">
        <f aca="false">모델!$D$49*IF(설정!$B$40="CPU",설정!$B$41/1000+((1)*모델!$D$36*설정!$B$43/8+(1)*모델!$D$37*설정!$B$44)/(설정!$B$42*1000000000)*1000+(1)*모델!$D$36*설정!$B$45/1000000,설정!$B$46/1000)</f>
        <v>4.02272</v>
      </c>
      <c r="I187" s="2"/>
    </row>
    <row r="188" customFormat="false" ht="17.15" hidden="false" customHeight="false" outlineLevel="0" collapsed="false">
      <c r="A188" s="33" t="s">
        <v>354</v>
      </c>
      <c r="B188" s="64" t="n">
        <f aca="false">B119+B122+B125+B128+B131+B134+B137+B140+B143+B146+B149+B152+B155+B158+B161+B164+B167+B170+B173+B176</f>
        <v>30.0619570196078</v>
      </c>
      <c r="C188" s="64" t="n">
        <f aca="false">C119+C122+C125+C128+C131+C134+C137+C140+C143+C146+C149+C152+C155+C158+C161+C164+C167+C170+C173+C176</f>
        <v>30.0619570196078</v>
      </c>
      <c r="D188" s="64" t="n">
        <f aca="false">D119+D122+D125+D128+D131+D134+D137+D140+D143+D146+D149+D152+D155+D158+D161+D164+D167+D170+D173+D176</f>
        <v>30.0619570196078</v>
      </c>
      <c r="E188" s="64" t="n">
        <f aca="false">E119+E122+E125+E128+E131+E134+E137+E140+E143+E146+E149+E152+E155+E158+E161+E164+E167+E170+E173+E176</f>
        <v>30.0619570196078</v>
      </c>
      <c r="F188" s="64" t="n">
        <f aca="false">F119+F122+F125+F128+F131+F134+F137+F140+F143+F146+F149+F152+F155+F158+F161+F164+F167+F170+F173+F176</f>
        <v>30.0619570196078</v>
      </c>
      <c r="G188" s="64" t="n">
        <f aca="false">G119+G122+G125+G128+G131+G134+G137+G140+G143+G146+G149+G152+G155+G158+G161+G164+G167+G170+G173+G176</f>
        <v>30.0619570196078</v>
      </c>
      <c r="H188" s="64" t="n">
        <f aca="false">H119+H122+H125+H128+H131+H134+H137+H140+H143+H146+H149+H152+H155+H158+H161+H164+H167+H170+H173+H176</f>
        <v>30.0619570196078</v>
      </c>
      <c r="I188" s="2"/>
    </row>
    <row r="189" customFormat="false" ht="17.15" hidden="false" customHeight="false" outlineLevel="0" collapsed="false">
      <c r="A189" s="33" t="s">
        <v>371</v>
      </c>
      <c r="B189" s="64" t="n">
        <f aca="false">B179+B183+B186</f>
        <v>2.55642352941176</v>
      </c>
      <c r="C189" s="64" t="n">
        <f aca="false">C179+C183+C186</f>
        <v>2.58212392156863</v>
      </c>
      <c r="D189" s="64" t="n">
        <f aca="false">D179+D183+D186</f>
        <v>2.63352470588235</v>
      </c>
      <c r="E189" s="64" t="n">
        <f aca="false">E179+E183+E186</f>
        <v>2.7363262745098</v>
      </c>
      <c r="F189" s="64" t="n">
        <f aca="false">F179+F183+F186</f>
        <v>2.94192941176471</v>
      </c>
      <c r="G189" s="64" t="n">
        <f aca="false">G179+G183+G186</f>
        <v>3.35313568627451</v>
      </c>
      <c r="H189" s="64" t="n">
        <f aca="false">H179+H183+H186</f>
        <v>4.17554823529412</v>
      </c>
      <c r="I189" s="2"/>
    </row>
    <row r="190" customFormat="false" ht="17.15" hidden="false" customHeight="false" outlineLevel="0" collapsed="false">
      <c r="A190" s="33" t="s">
        <v>372</v>
      </c>
      <c r="B190" s="68" t="n">
        <f aca="false">(B118+B121+B124+B127+B130+B133+B136+B139+B142+B145+B148+B151+B154+B157+B160+B163+B166+B169+B172+B175+B178+B182+B185)/1000000000</f>
        <v>1.663537408</v>
      </c>
      <c r="C190" s="68" t="n">
        <f aca="false">(C118+C121+C124+C127+C130+C133+C136+C139+C142+C145+C148+C151+C154+C157+C160+C163+C166+C169+C172+C175+C178+C182+C185)/1000000000</f>
        <v>1.664848128</v>
      </c>
      <c r="D190" s="68" t="n">
        <f aca="false">(D118+D121+D124+D127+D130+D133+D136+D139+D142+D145+D148+D151+D154+D157+D160+D163+D166+D169+D172+D175+D178+D182+D185)/1000000000</f>
        <v>1.667469568</v>
      </c>
      <c r="E190" s="68" t="n">
        <f aca="false">(E118+E121+E124+E127+E130+E133+E136+E139+E142+E145+E148+E151+E154+E157+E160+E163+E166+E169+E172+E175+E178+E182+E185)/1000000000</f>
        <v>1.672712448</v>
      </c>
      <c r="F190" s="68" t="n">
        <f aca="false">(F118+F121+F124+F127+F130+F133+F136+F139+F142+F145+F148+F151+F154+F157+F160+F163+F166+F169+F172+F175+F178+F182+F185)/1000000000</f>
        <v>1.683198208</v>
      </c>
      <c r="G190" s="68" t="n">
        <f aca="false">(G118+G121+G124+G127+G130+G133+G136+G139+G142+G145+G148+G151+G154+G157+G160+G163+G166+G169+G172+G175+G178+G182+G185)/1000000000</f>
        <v>1.704169728</v>
      </c>
      <c r="H190" s="68" t="n">
        <f aca="false">(H118+H121+H124+H127+H130+H133+H136+H139+H142+H145+H148+H151+H154+H157+H160+H163+H166+H169+H172+H175+H178+H182+H185)/1000000000</f>
        <v>1.746112768</v>
      </c>
      <c r="I190" s="2"/>
    </row>
    <row r="191" customFormat="false" ht="17.15" hidden="false" customHeight="false" outlineLevel="0" collapsed="false">
      <c r="A191" s="7" t="s">
        <v>373</v>
      </c>
      <c r="B191" s="74" t="n">
        <f aca="false">(B188+B189)*(1+설정!$B$14)+B187+설정!$B$16</f>
        <v>39.9029386039216</v>
      </c>
      <c r="C191" s="74" t="n">
        <f aca="false">(C188+C189)*(1+설정!$B$14)+C187+설정!$B$16</f>
        <v>39.9312090352941</v>
      </c>
      <c r="D191" s="74" t="n">
        <f aca="false">(D188+D189)*(1+설정!$B$14)+D187+설정!$B$16</f>
        <v>39.9877498980392</v>
      </c>
      <c r="E191" s="74" t="n">
        <f aca="false">(E188+E189)*(1+설정!$B$14)+E187+설정!$B$16</f>
        <v>40.1008316235294</v>
      </c>
      <c r="F191" s="74" t="n">
        <f aca="false">(F188+F189)*(1+설정!$B$14)+F187+설정!$B$16</f>
        <v>40.3269950745098</v>
      </c>
      <c r="G191" s="74" t="n">
        <f aca="false">(G188+G189)*(1+설정!$B$14)+G187+설정!$B$16</f>
        <v>40.7793219764706</v>
      </c>
      <c r="H191" s="74" t="n">
        <f aca="false">(H188+H189)*(1+설정!$B$14)+H187+설정!$B$16</f>
        <v>41.6839757803922</v>
      </c>
      <c r="I191" s="2"/>
    </row>
    <row r="192" customFormat="false" ht="15" hidden="false" customHeight="false" outlineLevel="0" collapsed="false">
      <c r="A192" s="16" t="s">
        <v>15</v>
      </c>
      <c r="B192" s="71" t="n">
        <f aca="false">1000/B191</f>
        <v>25.0608109323989</v>
      </c>
      <c r="C192" s="71" t="n">
        <f aca="false">1000/C191</f>
        <v>25.0430684208967</v>
      </c>
      <c r="D192" s="71" t="n">
        <f aca="false">1000/D191</f>
        <v>25.0076586592094</v>
      </c>
      <c r="E192" s="71" t="n">
        <f aca="false">1000/E191</f>
        <v>24.9371386954789</v>
      </c>
      <c r="F192" s="71" t="n">
        <f aca="false">1000/F191</f>
        <v>24.7972852465789</v>
      </c>
      <c r="G192" s="71" t="n">
        <f aca="false">1000/G191</f>
        <v>24.5222321395386</v>
      </c>
      <c r="H192" s="71" t="n">
        <f aca="false">1000/H191</f>
        <v>23.9900340905196</v>
      </c>
      <c r="I192" s="2"/>
    </row>
    <row r="193" customFormat="false" ht="17.15" hidden="false" customHeight="false" outlineLevel="0" collapsed="false">
      <c r="A193" s="33" t="s">
        <v>374</v>
      </c>
      <c r="B193" s="72" t="n">
        <f aca="false">B187/B191</f>
        <v>0.10081262535398</v>
      </c>
      <c r="C193" s="72" t="n">
        <f aca="false">C187/C191</f>
        <v>0.10074125219811</v>
      </c>
      <c r="D193" s="72" t="n">
        <f aca="false">D187/D191</f>
        <v>0.100598808641575</v>
      </c>
      <c r="E193" s="72" t="n">
        <f aca="false">E187/E191</f>
        <v>0.100315126573077</v>
      </c>
      <c r="F193" s="72" t="n">
        <f aca="false">F187/F191</f>
        <v>0.0997525353071177</v>
      </c>
      <c r="G193" s="72" t="n">
        <f aca="false">G187/G191</f>
        <v>0.0986460736723647</v>
      </c>
      <c r="H193" s="72" t="n">
        <f aca="false">H187/H191</f>
        <v>0.0965051899366149</v>
      </c>
      <c r="I193" s="2"/>
    </row>
    <row r="194" customFormat="false" ht="17.15" hidden="false" customHeight="false" outlineLevel="0" collapsed="false">
      <c r="A194" s="33" t="s">
        <v>375</v>
      </c>
      <c r="B194" s="72" t="n">
        <f aca="false">B186*(1+설정!$B$14)/B191</f>
        <v>0.0690114115399116</v>
      </c>
      <c r="C194" s="72" t="n">
        <f aca="false">C186*(1+설정!$B$14)/C191</f>
        <v>0.068962552954835</v>
      </c>
      <c r="D194" s="72" t="n">
        <f aca="false">D186*(1+설정!$B$14)/D191</f>
        <v>0.0688650430361446</v>
      </c>
      <c r="E194" s="72" t="n">
        <f aca="false">E186*(1+설정!$B$14)/E191</f>
        <v>0.0686708481135656</v>
      </c>
      <c r="F194" s="72" t="n">
        <f aca="false">F186*(1+설정!$B$14)/F191</f>
        <v>0.0682857255433762</v>
      </c>
      <c r="G194" s="72" t="n">
        <f aca="false">G186*(1+설정!$B$14)/G191</f>
        <v>0.06752829581708</v>
      </c>
      <c r="H194" s="72" t="n">
        <f aca="false">H186*(1+설정!$B$14)/H191</f>
        <v>0.0660627511193979</v>
      </c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7.15" hidden="false" customHeight="false" outlineLevel="0" collapsed="false">
      <c r="A196" s="28" t="s">
        <v>376</v>
      </c>
      <c r="B196" s="29"/>
      <c r="C196" s="29"/>
      <c r="D196" s="29"/>
      <c r="E196" s="29"/>
      <c r="F196" s="29"/>
      <c r="G196" s="29"/>
      <c r="H196" s="29"/>
      <c r="I196" s="29"/>
    </row>
    <row r="197" customFormat="false" ht="15" hidden="false" customHeight="false" outlineLevel="0" collapsed="false">
      <c r="A197" s="7" t="s">
        <v>377</v>
      </c>
      <c r="B197" s="73" t="n">
        <f aca="false">설정!$B$54+설정!$B$51/2</f>
        <v>256</v>
      </c>
      <c r="C197" s="73" t="n">
        <f aca="false">설정!$C$54+설정!$B$51/2</f>
        <v>384</v>
      </c>
      <c r="D197" s="73" t="n">
        <f aca="false">설정!$D$54+설정!$B$51/2</f>
        <v>640</v>
      </c>
      <c r="E197" s="73" t="n">
        <f aca="false">설정!$E$54+설정!$B$51/2</f>
        <v>1152</v>
      </c>
      <c r="F197" s="73" t="n">
        <f aca="false">설정!$F$54+설정!$B$51/2</f>
        <v>2176</v>
      </c>
      <c r="G197" s="73" t="n">
        <f aca="false">설정!$G$54+설정!$B$51/2</f>
        <v>4224</v>
      </c>
      <c r="H197" s="73" t="n">
        <f aca="false">설정!$H$54+설정!$B$51/2</f>
        <v>8320</v>
      </c>
      <c r="I197" s="2"/>
    </row>
    <row r="198" customFormat="false" ht="17.15" hidden="false" customHeight="false" outlineLevel="0" collapsed="false">
      <c r="A198" s="30" t="s">
        <v>378</v>
      </c>
      <c r="B198" s="68" t="n">
        <f aca="false">MAX(모델!$D$12*4*모델!$D$13*모델!$D$15*B197/설정!$B$68,모델!$D$12*(B197*2*모델!$D$14*모델!$D$15*설정!$B$58+2*모델!$D$13*모델!$D$15*설정!$B$57)/설정!$B$60)*1000</f>
        <v>0.0530070588235294</v>
      </c>
      <c r="C198" s="68" t="n">
        <f aca="false">MAX(모델!$D$12*4*모델!$D$13*모델!$D$15*C197/설정!$B$68,모델!$D$12*(C197*2*모델!$D$14*모델!$D$15*설정!$B$58+2*모델!$D$13*모델!$D$15*설정!$B$57)/설정!$B$60)*1000</f>
        <v>0.0787074509803922</v>
      </c>
      <c r="D198" s="68" t="n">
        <f aca="false">MAX(모델!$D$12*4*모델!$D$13*모델!$D$15*D197/설정!$B$68,모델!$D$12*(D197*2*모델!$D$14*모델!$D$15*설정!$B$58+2*모델!$D$13*모델!$D$15*설정!$B$57)/설정!$B$60)*1000</f>
        <v>0.130108235294118</v>
      </c>
      <c r="E198" s="68" t="n">
        <f aca="false">MAX(모델!$D$12*4*모델!$D$13*모델!$D$15*E197/설정!$B$68,모델!$D$12*(E197*2*모델!$D$14*모델!$D$15*설정!$B$58+2*모델!$D$13*모델!$D$15*설정!$B$57)/설정!$B$60)*1000</f>
        <v>0.232909803921569</v>
      </c>
      <c r="F198" s="68" t="n">
        <f aca="false">MAX(모델!$D$12*4*모델!$D$13*모델!$D$15*F197/설정!$B$68,모델!$D$12*(F197*2*모델!$D$14*모델!$D$15*설정!$B$58+2*모델!$D$13*모델!$D$15*설정!$B$57)/설정!$B$60)*1000</f>
        <v>0.438512941176471</v>
      </c>
      <c r="G198" s="68" t="n">
        <f aca="false">MAX(모델!$D$12*4*모델!$D$13*모델!$D$15*G197/설정!$B$68,모델!$D$12*(G197*2*모델!$D$14*모델!$D$15*설정!$B$58+2*모델!$D$13*모델!$D$15*설정!$B$57)/설정!$B$60)*1000</f>
        <v>0.849719215686275</v>
      </c>
      <c r="H198" s="68" t="n">
        <f aca="false">MAX(모델!$D$12*4*모델!$D$13*모델!$D$15*H197/설정!$B$68,모델!$D$12*(H197*2*모델!$D$14*모델!$D$15*설정!$B$58+2*모델!$D$13*모델!$D$15*설정!$B$57)/설정!$B$60)*1000</f>
        <v>1.67213176470588</v>
      </c>
      <c r="I198" s="2"/>
    </row>
    <row r="199" customFormat="false" ht="17.15" hidden="false" customHeight="false" outlineLevel="0" collapsed="false">
      <c r="A199" s="30" t="s">
        <v>379</v>
      </c>
      <c r="B199" s="68" t="n">
        <f aca="false">MAX(모델!$D$19*4*모델!$D$21*모델!$D$23*MIN(B197,모델!$D$20)/설정!$B$68,모델!$D$19*(MIN(B197,모델!$D$20)*2*모델!$D$22*모델!$D$23*설정!$B$58+2*모델!$D$21*모델!$D$23*설정!$B$57)/설정!$B$60)*1000</f>
        <v>0</v>
      </c>
      <c r="C199" s="68" t="n">
        <f aca="false">MAX(모델!$D$19*4*모델!$D$21*모델!$D$23*MIN(C197,모델!$D$20)/설정!$B$68,모델!$D$19*(MIN(C197,모델!$D$20)*2*모델!$D$22*모델!$D$23*설정!$B$58+2*모델!$D$21*모델!$D$23*설정!$B$57)/설정!$B$60)*1000</f>
        <v>0</v>
      </c>
      <c r="D199" s="68" t="n">
        <f aca="false">MAX(모델!$D$19*4*모델!$D$21*모델!$D$23*MIN(D197,모델!$D$20)/설정!$B$68,모델!$D$19*(MIN(D197,모델!$D$20)*2*모델!$D$22*모델!$D$23*설정!$B$58+2*모델!$D$21*모델!$D$23*설정!$B$57)/설정!$B$60)*1000</f>
        <v>0</v>
      </c>
      <c r="E199" s="68" t="n">
        <f aca="false">MAX(모델!$D$19*4*모델!$D$21*모델!$D$23*MIN(E197,모델!$D$20)/설정!$B$68,모델!$D$19*(MIN(E197,모델!$D$20)*2*모델!$D$22*모델!$D$23*설정!$B$58+2*모델!$D$21*모델!$D$23*설정!$B$57)/설정!$B$60)*1000</f>
        <v>0</v>
      </c>
      <c r="F199" s="68" t="n">
        <f aca="false">MAX(모델!$D$19*4*모델!$D$21*모델!$D$23*MIN(F197,모델!$D$20)/설정!$B$68,모델!$D$19*(MIN(F197,모델!$D$20)*2*모델!$D$22*모델!$D$23*설정!$B$58+2*모델!$D$21*모델!$D$23*설정!$B$57)/설정!$B$60)*1000</f>
        <v>0</v>
      </c>
      <c r="G199" s="68" t="n">
        <f aca="false">MAX(모델!$D$19*4*모델!$D$21*모델!$D$23*MIN(G197,모델!$D$20)/설정!$B$68,모델!$D$19*(MIN(G197,모델!$D$20)*2*모델!$D$22*모델!$D$23*설정!$B$58+2*모델!$D$21*모델!$D$23*설정!$B$57)/설정!$B$60)*1000</f>
        <v>0</v>
      </c>
      <c r="H199" s="68" t="n">
        <f aca="false">MAX(모델!$D$19*4*모델!$D$21*모델!$D$23*MIN(H197,모델!$D$20)/설정!$B$68,모델!$D$19*(MIN(H197,모델!$D$20)*2*모델!$D$22*모델!$D$23*설정!$B$58+2*모델!$D$21*모델!$D$23*설정!$B$57)/설정!$B$60)*1000</f>
        <v>0</v>
      </c>
      <c r="I199" s="2"/>
    </row>
    <row r="200" customFormat="false" ht="17.15" hidden="false" customHeight="false" outlineLevel="0" collapsed="false">
      <c r="A200" s="33" t="s">
        <v>380</v>
      </c>
      <c r="B200" s="75" t="n">
        <f aca="false">(B188+B198+B199+B186)*(1+설정!$B$14)+B187+설정!$B$16</f>
        <v>39.9029386039216</v>
      </c>
      <c r="C200" s="75" t="n">
        <f aca="false">(C188+C198+C199+C186)*(1+설정!$B$14)+C187+설정!$B$16</f>
        <v>39.9312090352941</v>
      </c>
      <c r="D200" s="75" t="n">
        <f aca="false">(D188+D198+D199+D186)*(1+설정!$B$14)+D187+설정!$B$16</f>
        <v>39.9877498980392</v>
      </c>
      <c r="E200" s="75" t="n">
        <f aca="false">(E188+E198+E199+E186)*(1+설정!$B$14)+E187+설정!$B$16</f>
        <v>40.1008316235294</v>
      </c>
      <c r="F200" s="75" t="n">
        <f aca="false">(F188+F198+F199+F186)*(1+설정!$B$14)+F187+설정!$B$16</f>
        <v>40.3269950745098</v>
      </c>
      <c r="G200" s="75" t="n">
        <f aca="false">(G188+G198+G199+G186)*(1+설정!$B$14)+G187+설정!$B$16</f>
        <v>40.7793219764706</v>
      </c>
      <c r="H200" s="75" t="n">
        <f aca="false">(H188+H198+H199+H186)*(1+설정!$B$14)+H187+설정!$B$16</f>
        <v>41.6839757803922</v>
      </c>
      <c r="I200" s="2"/>
    </row>
    <row r="201" customFormat="false" ht="17.15" hidden="false" customHeight="false" outlineLevel="0" collapsed="false">
      <c r="A201" s="7" t="s">
        <v>381</v>
      </c>
      <c r="B201" s="74" t="n">
        <f aca="false">(B111+MAX(0,설정!$B$51-1)*B200)/1000</f>
        <v>10.5691919255941</v>
      </c>
      <c r="C201" s="74" t="n">
        <f aca="false">(C111+MAX(0,설정!$B$51-1)*C200)/1000</f>
        <v>10.6087130586985</v>
      </c>
      <c r="D201" s="74" t="n">
        <f aca="false">(D111+MAX(0,설정!$B$51-1)*D200)/1000</f>
        <v>10.6808567123142</v>
      </c>
      <c r="E201" s="74" t="n">
        <f aca="false">(E111+MAX(0,설정!$B$51-1)*E200)/1000</f>
        <v>10.8271712452066</v>
      </c>
      <c r="F201" s="74" t="n">
        <f aca="false">(F111+MAX(0,설정!$B$51-1)*F200)/1000</f>
        <v>11.1257689281656</v>
      </c>
      <c r="G201" s="74" t="n">
        <f aca="false">(G111+MAX(0,설정!$B$51-1)*G200)/1000</f>
        <v>11.7465866142118</v>
      </c>
      <c r="H201" s="74" t="n">
        <f aca="false">(H111+MAX(0,설정!$B$51-1)*H200)/1000</f>
        <v>13.082711266816</v>
      </c>
      <c r="I201" s="32" t="s">
        <v>382</v>
      </c>
    </row>
    <row r="202" customFormat="false" ht="17.15" hidden="false" customHeight="false" outlineLevel="0" collapsed="false">
      <c r="A202" s="33" t="s">
        <v>383</v>
      </c>
      <c r="B202" s="66" t="n">
        <f aca="false">설정!$B$51/B201</f>
        <v>24.2213408368597</v>
      </c>
      <c r="C202" s="66" t="n">
        <f aca="false">설정!$B$51/C201</f>
        <v>24.1311079471695</v>
      </c>
      <c r="D202" s="66" t="n">
        <f aca="false">설정!$B$51/D201</f>
        <v>23.9681148146901</v>
      </c>
      <c r="E202" s="66" t="n">
        <f aca="false">설정!$B$51/E201</f>
        <v>23.6442182544528</v>
      </c>
      <c r="F202" s="66" t="n">
        <f aca="false">설정!$B$51/F201</f>
        <v>23.0096455941952</v>
      </c>
      <c r="G202" s="66" t="n">
        <f aca="false">설정!$B$51/G201</f>
        <v>21.7935650932225</v>
      </c>
      <c r="H202" s="66" t="n">
        <f aca="false">설정!$B$51/H201</f>
        <v>19.5678093614539</v>
      </c>
      <c r="I202" s="2"/>
    </row>
    <row r="203" customFormat="false" ht="17.15" hidden="false" customHeight="false" outlineLevel="0" collapsed="false">
      <c r="A203" s="33" t="s">
        <v>384</v>
      </c>
      <c r="B203" s="72" t="n">
        <f aca="false">B111/1000/B201</f>
        <v>0.0372727247614963</v>
      </c>
      <c r="C203" s="72" t="n">
        <f aca="false">C111/1000/C201</f>
        <v>0.0401796855414982</v>
      </c>
      <c r="D203" s="72" t="n">
        <f aca="false">D111/1000/D201</f>
        <v>0.0453128902811883</v>
      </c>
      <c r="E203" s="72" t="n">
        <f aca="false">E111/1000/E201</f>
        <v>0.0555509068421601</v>
      </c>
      <c r="F203" s="72" t="n">
        <f aca="false">F111/1000/F201</f>
        <v>0.0757147833650483</v>
      </c>
      <c r="G203" s="72" t="n">
        <f aca="false">G111/1000/G201</f>
        <v>0.114744781141871</v>
      </c>
      <c r="H203" s="72" t="n">
        <f aca="false">H111/1000/H201</f>
        <v>0.187522096359241</v>
      </c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7.15" hidden="false" customHeight="false" outlineLevel="0" collapsed="false">
      <c r="A205" s="40" t="s">
        <v>385</v>
      </c>
      <c r="B205" s="29"/>
      <c r="C205" s="29"/>
      <c r="D205" s="29"/>
      <c r="E205" s="29"/>
      <c r="F205" s="29"/>
      <c r="G205" s="29"/>
      <c r="H205" s="29"/>
      <c r="I205" s="29"/>
    </row>
    <row r="206" customFormat="false" ht="15" hidden="false" customHeight="false" outlineLevel="0" collapsed="false">
      <c r="A206" s="7" t="s">
        <v>386</v>
      </c>
      <c r="B206" s="73" t="n">
        <f aca="false">설정!$B$54+설정!$B$51</f>
        <v>384</v>
      </c>
      <c r="C206" s="73" t="n">
        <f aca="false">설정!$C$54+설정!$B$51</f>
        <v>512</v>
      </c>
      <c r="D206" s="73" t="n">
        <f aca="false">설정!$D$54+설정!$B$51</f>
        <v>768</v>
      </c>
      <c r="E206" s="73" t="n">
        <f aca="false">설정!$E$54+설정!$B$51</f>
        <v>1280</v>
      </c>
      <c r="F206" s="73" t="n">
        <f aca="false">설정!$F$54+설정!$B$51</f>
        <v>2304</v>
      </c>
      <c r="G206" s="73" t="n">
        <f aca="false">설정!$G$54+설정!$B$51</f>
        <v>4352</v>
      </c>
      <c r="H206" s="73" t="n">
        <f aca="false">설정!$H$54+설정!$B$51</f>
        <v>8448</v>
      </c>
      <c r="I206" s="2"/>
    </row>
    <row r="207" customFormat="false" ht="17.15" hidden="false" customHeight="false" outlineLevel="0" collapsed="false">
      <c r="A207" s="33" t="s">
        <v>387</v>
      </c>
      <c r="B207" s="64" t="n">
        <f aca="false">모델!$D$61*1000000000/1073741824</f>
        <v>16.6536521911621</v>
      </c>
      <c r="C207" s="64" t="n">
        <f aca="false">모델!$D$61*1000000000/1073741824</f>
        <v>16.6536521911621</v>
      </c>
      <c r="D207" s="64" t="n">
        <f aca="false">모델!$D$61*1000000000/1073741824</f>
        <v>16.6536521911621</v>
      </c>
      <c r="E207" s="64" t="n">
        <f aca="false">모델!$D$61*1000000000/1073741824</f>
        <v>16.6536521911621</v>
      </c>
      <c r="F207" s="64" t="n">
        <f aca="false">모델!$D$61*1000000000/1073741824</f>
        <v>16.6536521911621</v>
      </c>
      <c r="G207" s="64" t="n">
        <f aca="false">모델!$D$61*1000000000/1073741824</f>
        <v>16.6536521911621</v>
      </c>
      <c r="H207" s="64" t="n">
        <f aca="false">모델!$D$61*1000000000/1073741824</f>
        <v>16.6536521911621</v>
      </c>
      <c r="I207" s="2"/>
    </row>
    <row r="208" customFormat="false" ht="15" hidden="false" customHeight="false" outlineLevel="0" collapsed="false">
      <c r="A208" s="30" t="s">
        <v>388</v>
      </c>
      <c r="B208" s="68" t="n">
        <f aca="false">(모델!$D$12*2*모델!$D$14*모델!$D$15*설정!$B$58*B206+모델!$D$19*2*모델!$D$22*모델!$D$23*설정!$B$58*MIN(B206,모델!$D$20)+모델!$D$26*(모델!$D$29*모델!$D$28*모델!$D$30*설정!$B$59+MAX(0,모델!$D$31-1)*모델!$D$52*설정!$B$57))/1073741824</f>
        <v>0.0629425048828125</v>
      </c>
      <c r="C208" s="68" t="n">
        <f aca="false">(모델!$D$12*2*모델!$D$14*모델!$D$15*설정!$B$58*C206+모델!$D$19*2*모델!$D$22*모델!$D$23*설정!$B$58*MIN(C206,모델!$D$20)+모델!$D$26*(모델!$D$29*모델!$D$28*모델!$D$30*설정!$B$59+MAX(0,모델!$D$31-1)*모델!$D$52*설정!$B$57))/1073741824</f>
        <v>0.0641632080078125</v>
      </c>
      <c r="D208" s="68" t="n">
        <f aca="false">(모델!$D$12*2*모델!$D$14*모델!$D$15*설정!$B$58*D206+모델!$D$19*2*모델!$D$22*모델!$D$23*설정!$B$58*MIN(D206,모델!$D$20)+모델!$D$26*(모델!$D$29*모델!$D$28*모델!$D$30*설정!$B$59+MAX(0,모델!$D$31-1)*모델!$D$52*설정!$B$57))/1073741824</f>
        <v>0.0666046142578125</v>
      </c>
      <c r="E208" s="68" t="n">
        <f aca="false">(모델!$D$12*2*모델!$D$14*모델!$D$15*설정!$B$58*E206+모델!$D$19*2*모델!$D$22*모델!$D$23*설정!$B$58*MIN(E206,모델!$D$20)+모델!$D$26*(모델!$D$29*모델!$D$28*모델!$D$30*설정!$B$59+MAX(0,모델!$D$31-1)*모델!$D$52*설정!$B$57))/1073741824</f>
        <v>0.0714874267578125</v>
      </c>
      <c r="F208" s="68" t="n">
        <f aca="false">(모델!$D$12*2*모델!$D$14*모델!$D$15*설정!$B$58*F206+모델!$D$19*2*모델!$D$22*모델!$D$23*설정!$B$58*MIN(F206,모델!$D$20)+모델!$D$26*(모델!$D$29*모델!$D$28*모델!$D$30*설정!$B$59+MAX(0,모델!$D$31-1)*모델!$D$52*설정!$B$57))/1073741824</f>
        <v>0.0812530517578125</v>
      </c>
      <c r="G208" s="68" t="n">
        <f aca="false">(모델!$D$12*2*모델!$D$14*모델!$D$15*설정!$B$58*G206+모델!$D$19*2*모델!$D$22*모델!$D$23*설정!$B$58*MIN(G206,모델!$D$20)+모델!$D$26*(모델!$D$29*모델!$D$28*모델!$D$30*설정!$B$59+MAX(0,모델!$D$31-1)*모델!$D$52*설정!$B$57))/1073741824</f>
        <v>0.100784301757813</v>
      </c>
      <c r="H208" s="68" t="n">
        <f aca="false">(모델!$D$12*2*모델!$D$14*모델!$D$15*설정!$B$58*H206+모델!$D$19*2*모델!$D$22*모델!$D$23*설정!$B$58*MIN(H206,모델!$D$20)+모델!$D$26*(모델!$D$29*모델!$D$28*모델!$D$30*설정!$B$59+MAX(0,모델!$D$31-1)*모델!$D$52*설정!$B$57))/1073741824</f>
        <v>0.139846801757813</v>
      </c>
      <c r="I208" s="2"/>
    </row>
    <row r="209" customFormat="false" ht="17.15" hidden="false" customHeight="false" outlineLevel="0" collapsed="false">
      <c r="A209" s="33" t="s">
        <v>389</v>
      </c>
      <c r="B209" s="64" t="n">
        <f aca="false">설정!$B$13</f>
        <v>0.5</v>
      </c>
      <c r="C209" s="64" t="n">
        <f aca="false">설정!$B$13</f>
        <v>0.5</v>
      </c>
      <c r="D209" s="64" t="n">
        <f aca="false">설정!$B$13</f>
        <v>0.5</v>
      </c>
      <c r="E209" s="64" t="n">
        <f aca="false">설정!$B$13</f>
        <v>0.5</v>
      </c>
      <c r="F209" s="64" t="n">
        <f aca="false">설정!$B$13</f>
        <v>0.5</v>
      </c>
      <c r="G209" s="64" t="n">
        <f aca="false">설정!$B$13</f>
        <v>0.5</v>
      </c>
      <c r="H209" s="64" t="n">
        <f aca="false">설정!$B$13</f>
        <v>0.5</v>
      </c>
      <c r="I209" s="2"/>
    </row>
    <row r="210" customFormat="false" ht="17.15" hidden="false" customHeight="false" outlineLevel="0" collapsed="false">
      <c r="A210" s="7" t="s">
        <v>390</v>
      </c>
      <c r="B210" s="76" t="n">
        <f aca="false">B207+B208+B209</f>
        <v>17.2165946960449</v>
      </c>
      <c r="C210" s="76" t="n">
        <f aca="false">C207+C208+C209</f>
        <v>17.2178153991699</v>
      </c>
      <c r="D210" s="76" t="n">
        <f aca="false">D207+D208+D209</f>
        <v>17.2202568054199</v>
      </c>
      <c r="E210" s="76" t="n">
        <f aca="false">E207+E208+E209</f>
        <v>17.2251396179199</v>
      </c>
      <c r="F210" s="76" t="n">
        <f aca="false">F207+F208+F209</f>
        <v>17.2349052429199</v>
      </c>
      <c r="G210" s="76" t="n">
        <f aca="false">G207+G208+G209</f>
        <v>17.2544364929199</v>
      </c>
      <c r="H210" s="76" t="n">
        <f aca="false">H207+H208+H209</f>
        <v>17.2934989929199</v>
      </c>
      <c r="I210" s="2"/>
    </row>
    <row r="211" customFormat="false" ht="17.15" hidden="false" customHeight="false" outlineLevel="0" collapsed="false">
      <c r="A211" s="30" t="s">
        <v>391</v>
      </c>
      <c r="B211" s="70" t="str">
        <f aca="false">IF(B210&lt;=설정!$B$62,"OK +"&amp;TEXT(설정!$B$62-B210,"0.0"),"초과 -"&amp;TEXT(B210-설정!$B$62,"0.0"))</f>
        <v>초과 -4.2</v>
      </c>
      <c r="C211" s="70" t="str">
        <f aca="false">IF(C210&lt;=설정!$B$62,"OK +"&amp;TEXT(설정!$B$62-C210,"0.0"),"초과 -"&amp;TEXT(C210-설정!$B$62,"0.0"))</f>
        <v>초과 -4.2</v>
      </c>
      <c r="D211" s="70" t="str">
        <f aca="false">IF(D210&lt;=설정!$B$62,"OK +"&amp;TEXT(설정!$B$62-D210,"0.0"),"초과 -"&amp;TEXT(D210-설정!$B$62,"0.0"))</f>
        <v>초과 -4.2</v>
      </c>
      <c r="E211" s="70" t="str">
        <f aca="false">IF(E210&lt;=설정!$B$62,"OK +"&amp;TEXT(설정!$B$62-E210,"0.0"),"초과 -"&amp;TEXT(E210-설정!$B$62,"0.0"))</f>
        <v>초과 -4.2</v>
      </c>
      <c r="F211" s="70" t="str">
        <f aca="false">IF(F210&lt;=설정!$B$62,"OK +"&amp;TEXT(설정!$B$62-F210,"0.0"),"초과 -"&amp;TEXT(F210-설정!$B$62,"0.0"))</f>
        <v>초과 -4.2</v>
      </c>
      <c r="G211" s="70" t="str">
        <f aca="false">IF(G210&lt;=설정!$B$62,"OK +"&amp;TEXT(설정!$B$62-G210,"0.0"),"초과 -"&amp;TEXT(G210-설정!$B$62,"0.0"))</f>
        <v>초과 -4.3</v>
      </c>
      <c r="H211" s="70" t="str">
        <f aca="false">IF(H210&lt;=설정!$B$62,"OK +"&amp;TEXT(설정!$B$62-H210,"0.0"),"초과 -"&amp;TEXT(H210-설정!$B$62,"0.0"))</f>
        <v>초과 -4.3</v>
      </c>
      <c r="I2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4"/>
  </cols>
  <sheetData>
    <row r="1" customFormat="false" ht="21.6" hidden="false" customHeight="false" outlineLevel="0" collapsed="false">
      <c r="A1" s="1" t="str">
        <f aca="false">모델!E6&amp;" — 계산 상세"</f>
        <v>Gemma 4 26B-A4B — 계산 상세</v>
      </c>
      <c r="B1" s="2"/>
      <c r="C1" s="2"/>
      <c r="D1" s="2"/>
      <c r="E1" s="2"/>
      <c r="F1" s="2"/>
      <c r="G1" s="2"/>
      <c r="H1" s="2"/>
      <c r="I1" s="2"/>
    </row>
    <row r="2" customFormat="false" ht="17.15" hidden="false" customHeight="false" outlineLevel="0" collapsed="false">
      <c r="A2" s="27" t="s">
        <v>242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7.15" hidden="false" customHeight="false" outlineLevel="0" collapsed="false">
      <c r="A4" s="48" t="s">
        <v>243</v>
      </c>
      <c r="B4" s="35" t="s">
        <v>244</v>
      </c>
      <c r="C4" s="35" t="s">
        <v>245</v>
      </c>
      <c r="D4" s="48" t="s">
        <v>246</v>
      </c>
      <c r="E4" s="48" t="s">
        <v>247</v>
      </c>
      <c r="F4" s="48" t="s">
        <v>248</v>
      </c>
      <c r="G4" s="35" t="s">
        <v>61</v>
      </c>
      <c r="H4" s="35" t="s">
        <v>249</v>
      </c>
      <c r="I4" s="48" t="s">
        <v>250</v>
      </c>
    </row>
    <row r="5" customFormat="false" ht="15" hidden="false" customHeight="false" outlineLevel="0" collapsed="false">
      <c r="A5" s="30" t="s">
        <v>251</v>
      </c>
      <c r="B5" s="59" t="n">
        <f aca="false">모델!$E$8</f>
        <v>2816</v>
      </c>
      <c r="C5" s="59" t="n">
        <f aca="false">모델!$E$13*모델!$E$15*모델!$E$16</f>
        <v>8192</v>
      </c>
      <c r="D5" s="59" t="n">
        <f aca="false">모델!$E$12</f>
        <v>5</v>
      </c>
      <c r="E5" s="2" t="s">
        <v>252</v>
      </c>
      <c r="F5" s="2" t="s">
        <v>65</v>
      </c>
      <c r="G5" s="60" t="n">
        <f aca="false">설정!$B$27</f>
        <v>4</v>
      </c>
      <c r="H5" s="61" t="n">
        <f aca="false">(설정!$B$27/8+IF(설정!$C$27=0,설정!$D$27/8/MAX(1,$B$5),설정!$D$27/8/설정!$C$27))</f>
        <v>0.515625</v>
      </c>
      <c r="I5" s="62" t="n">
        <f aca="false">설정!$B$63</f>
        <v>24000000000000</v>
      </c>
    </row>
    <row r="6" customFormat="false" ht="15" hidden="false" customHeight="false" outlineLevel="0" collapsed="false">
      <c r="A6" s="30" t="s">
        <v>253</v>
      </c>
      <c r="B6" s="59" t="n">
        <f aca="false">모델!$E$8</f>
        <v>2816</v>
      </c>
      <c r="C6" s="59" t="n">
        <f aca="false">모델!$E$14*모델!$E$15</f>
        <v>1024</v>
      </c>
      <c r="D6" s="59" t="n">
        <f aca="false">모델!$E$12</f>
        <v>5</v>
      </c>
      <c r="E6" s="2" t="s">
        <v>252</v>
      </c>
      <c r="F6" s="2" t="s">
        <v>65</v>
      </c>
      <c r="G6" s="60" t="n">
        <f aca="false">설정!$B$27</f>
        <v>4</v>
      </c>
      <c r="H6" s="61" t="n">
        <f aca="false">(설정!$B$27/8+IF(설정!$C$27=0,설정!$D$27/8/MAX(1,$B$6),설정!$D$27/8/설정!$C$27))</f>
        <v>0.515625</v>
      </c>
      <c r="I6" s="62" t="n">
        <f aca="false">설정!$B$63</f>
        <v>24000000000000</v>
      </c>
    </row>
    <row r="7" customFormat="false" ht="15" hidden="false" customHeight="false" outlineLevel="0" collapsed="false">
      <c r="A7" s="30" t="s">
        <v>254</v>
      </c>
      <c r="B7" s="59" t="n">
        <f aca="false">모델!$E$8</f>
        <v>2816</v>
      </c>
      <c r="C7" s="59" t="n">
        <f aca="false">모델!$E$14*모델!$E$15</f>
        <v>1024</v>
      </c>
      <c r="D7" s="59" t="n">
        <f aca="false">모델!$E$12*모델!$E$17</f>
        <v>0</v>
      </c>
      <c r="E7" s="2" t="s">
        <v>252</v>
      </c>
      <c r="F7" s="2" t="s">
        <v>65</v>
      </c>
      <c r="G7" s="60" t="n">
        <f aca="false">설정!$B$27</f>
        <v>4</v>
      </c>
      <c r="H7" s="61" t="n">
        <f aca="false">(설정!$B$27/8+IF(설정!$C$27=0,설정!$D$27/8/MAX(1,$B$7),설정!$D$27/8/설정!$C$27))</f>
        <v>0.515625</v>
      </c>
      <c r="I7" s="62" t="n">
        <f aca="false">설정!$B$63</f>
        <v>24000000000000</v>
      </c>
    </row>
    <row r="8" customFormat="false" ht="15" hidden="false" customHeight="false" outlineLevel="0" collapsed="false">
      <c r="A8" s="30" t="s">
        <v>255</v>
      </c>
      <c r="B8" s="59" t="n">
        <f aca="false">모델!$E$13*모델!$E$15</f>
        <v>8192</v>
      </c>
      <c r="C8" s="59" t="n">
        <f aca="false">모델!$E$8</f>
        <v>2816</v>
      </c>
      <c r="D8" s="59" t="n">
        <f aca="false">모델!$E$12</f>
        <v>5</v>
      </c>
      <c r="E8" s="2" t="s">
        <v>252</v>
      </c>
      <c r="F8" s="2" t="s">
        <v>65</v>
      </c>
      <c r="G8" s="60" t="n">
        <f aca="false">설정!$B$27</f>
        <v>4</v>
      </c>
      <c r="H8" s="61" t="n">
        <f aca="false">(설정!$B$27/8+IF(설정!$C$27=0,설정!$D$27/8/MAX(1,$B$8),설정!$D$27/8/설정!$C$27))</f>
        <v>0.515625</v>
      </c>
      <c r="I8" s="62" t="n">
        <f aca="false">설정!$B$63</f>
        <v>24000000000000</v>
      </c>
    </row>
    <row r="9" customFormat="false" ht="15" hidden="false" customHeight="false" outlineLevel="0" collapsed="false">
      <c r="A9" s="30" t="s">
        <v>256</v>
      </c>
      <c r="B9" s="59" t="n">
        <f aca="false">모델!$E$8</f>
        <v>2816</v>
      </c>
      <c r="C9" s="59" t="n">
        <f aca="false">모델!$E$21*모델!$E$23</f>
        <v>4096</v>
      </c>
      <c r="D9" s="59" t="n">
        <f aca="false">모델!$E$19</f>
        <v>25</v>
      </c>
      <c r="E9" s="2" t="s">
        <v>252</v>
      </c>
      <c r="F9" s="2" t="s">
        <v>65</v>
      </c>
      <c r="G9" s="60" t="n">
        <f aca="false">설정!$B$27</f>
        <v>4</v>
      </c>
      <c r="H9" s="61" t="n">
        <f aca="false">(설정!$B$27/8+IF(설정!$C$27=0,설정!$D$27/8/MAX(1,$B$9),설정!$D$27/8/설정!$C$27))</f>
        <v>0.515625</v>
      </c>
      <c r="I9" s="62" t="n">
        <f aca="false">설정!$B$63</f>
        <v>24000000000000</v>
      </c>
    </row>
    <row r="10" customFormat="false" ht="15" hidden="false" customHeight="false" outlineLevel="0" collapsed="false">
      <c r="A10" s="30" t="s">
        <v>257</v>
      </c>
      <c r="B10" s="59" t="n">
        <f aca="false">모델!$E$8</f>
        <v>2816</v>
      </c>
      <c r="C10" s="59" t="n">
        <f aca="false">모델!$E$22*모델!$E$23</f>
        <v>2048</v>
      </c>
      <c r="D10" s="59" t="n">
        <f aca="false">모델!$E$19</f>
        <v>25</v>
      </c>
      <c r="E10" s="2" t="s">
        <v>252</v>
      </c>
      <c r="F10" s="2" t="s">
        <v>65</v>
      </c>
      <c r="G10" s="60" t="n">
        <f aca="false">설정!$B$27</f>
        <v>4</v>
      </c>
      <c r="H10" s="61" t="n">
        <f aca="false">(설정!$B$27/8+IF(설정!$C$27=0,설정!$D$27/8/MAX(1,$B$10),설정!$D$27/8/설정!$C$27))</f>
        <v>0.515625</v>
      </c>
      <c r="I10" s="62" t="n">
        <f aca="false">설정!$B$63</f>
        <v>24000000000000</v>
      </c>
    </row>
    <row r="11" customFormat="false" ht="15" hidden="false" customHeight="false" outlineLevel="0" collapsed="false">
      <c r="A11" s="30" t="s">
        <v>258</v>
      </c>
      <c r="B11" s="59" t="n">
        <f aca="false">모델!$E$8</f>
        <v>2816</v>
      </c>
      <c r="C11" s="59" t="n">
        <f aca="false">모델!$E$22*모델!$E$23</f>
        <v>2048</v>
      </c>
      <c r="D11" s="59" t="n">
        <f aca="false">모델!$E$19*모델!$E$24</f>
        <v>25</v>
      </c>
      <c r="E11" s="2" t="s">
        <v>252</v>
      </c>
      <c r="F11" s="2" t="s">
        <v>65</v>
      </c>
      <c r="G11" s="60" t="n">
        <f aca="false">설정!$B$27</f>
        <v>4</v>
      </c>
      <c r="H11" s="61" t="n">
        <f aca="false">(설정!$B$27/8+IF(설정!$C$27=0,설정!$D$27/8/MAX(1,$B$11),설정!$D$27/8/설정!$C$27))</f>
        <v>0.515625</v>
      </c>
      <c r="I11" s="62" t="n">
        <f aca="false">설정!$B$63</f>
        <v>24000000000000</v>
      </c>
    </row>
    <row r="12" customFormat="false" ht="15" hidden="false" customHeight="false" outlineLevel="0" collapsed="false">
      <c r="A12" s="30" t="s">
        <v>259</v>
      </c>
      <c r="B12" s="59" t="n">
        <f aca="false">모델!$E$21*모델!$E$23</f>
        <v>4096</v>
      </c>
      <c r="C12" s="59" t="n">
        <f aca="false">모델!$E$8</f>
        <v>2816</v>
      </c>
      <c r="D12" s="59" t="n">
        <f aca="false">모델!$E$19</f>
        <v>25</v>
      </c>
      <c r="E12" s="2" t="s">
        <v>252</v>
      </c>
      <c r="F12" s="2" t="s">
        <v>65</v>
      </c>
      <c r="G12" s="60" t="n">
        <f aca="false">설정!$B$27</f>
        <v>4</v>
      </c>
      <c r="H12" s="61" t="n">
        <f aca="false">(설정!$B$27/8+IF(설정!$C$27=0,설정!$D$27/8/MAX(1,$B$12),설정!$D$27/8/설정!$C$27))</f>
        <v>0.515625</v>
      </c>
      <c r="I12" s="62" t="n">
        <f aca="false">설정!$B$63</f>
        <v>24000000000000</v>
      </c>
    </row>
    <row r="13" customFormat="false" ht="15" hidden="false" customHeight="false" outlineLevel="0" collapsed="false">
      <c r="A13" s="30" t="s">
        <v>260</v>
      </c>
      <c r="B13" s="59" t="n">
        <f aca="false">모델!$E$8</f>
        <v>2816</v>
      </c>
      <c r="C13" s="59" t="n">
        <f aca="false">모델!$E$52</f>
        <v>0</v>
      </c>
      <c r="D13" s="59" t="n">
        <f aca="false">모델!$E$26</f>
        <v>0</v>
      </c>
      <c r="E13" s="2" t="s">
        <v>252</v>
      </c>
      <c r="F13" s="2" t="s">
        <v>67</v>
      </c>
      <c r="G13" s="60" t="n">
        <f aca="false">설정!$B$28</f>
        <v>4</v>
      </c>
      <c r="H13" s="61" t="n">
        <f aca="false">(설정!$B$28/8+IF(설정!$C$28=0,설정!$D$28/8/MAX(1,$B$13),설정!$D$28/8/설정!$C$28))</f>
        <v>0.515625</v>
      </c>
      <c r="I13" s="62" t="n">
        <f aca="false">설정!$B$64</f>
        <v>24000000000000</v>
      </c>
    </row>
    <row r="14" customFormat="false" ht="15" hidden="false" customHeight="false" outlineLevel="0" collapsed="false">
      <c r="A14" s="30" t="s">
        <v>261</v>
      </c>
      <c r="B14" s="59" t="n">
        <f aca="false">모델!$E$8</f>
        <v>2816</v>
      </c>
      <c r="C14" s="59" t="n">
        <f aca="false">모델!$E$29*모델!$E$30</f>
        <v>0</v>
      </c>
      <c r="D14" s="59" t="n">
        <f aca="false">모델!$E$26</f>
        <v>0</v>
      </c>
      <c r="E14" s="2" t="s">
        <v>252</v>
      </c>
      <c r="F14" s="2" t="s">
        <v>67</v>
      </c>
      <c r="G14" s="60" t="n">
        <f aca="false">설정!$B$28</f>
        <v>4</v>
      </c>
      <c r="H14" s="61" t="n">
        <f aca="false">(설정!$B$28/8+IF(설정!$C$28=0,설정!$D$28/8/MAX(1,$B$14),설정!$D$28/8/설정!$C$28))</f>
        <v>0.515625</v>
      </c>
      <c r="I14" s="62" t="n">
        <f aca="false">설정!$B$64</f>
        <v>24000000000000</v>
      </c>
    </row>
    <row r="15" customFormat="false" ht="15" hidden="false" customHeight="false" outlineLevel="0" collapsed="false">
      <c r="A15" s="30" t="s">
        <v>262</v>
      </c>
      <c r="B15" s="59" t="n">
        <f aca="false">모델!$E$8</f>
        <v>2816</v>
      </c>
      <c r="C15" s="59" t="n">
        <f aca="false">2*모델!$E$29</f>
        <v>0</v>
      </c>
      <c r="D15" s="59" t="n">
        <f aca="false">모델!$E$26</f>
        <v>0</v>
      </c>
      <c r="E15" s="2" t="s">
        <v>252</v>
      </c>
      <c r="F15" s="2" t="s">
        <v>67</v>
      </c>
      <c r="G15" s="60" t="n">
        <f aca="false">설정!$B$28</f>
        <v>4</v>
      </c>
      <c r="H15" s="61" t="n">
        <f aca="false">(설정!$B$28/8+IF(설정!$C$28=0,설정!$D$28/8/MAX(1,$B$15),설정!$D$28/8/설정!$C$28))</f>
        <v>0.515625</v>
      </c>
      <c r="I15" s="62" t="n">
        <f aca="false">설정!$B$64</f>
        <v>24000000000000</v>
      </c>
    </row>
    <row r="16" customFormat="false" ht="15" hidden="false" customHeight="false" outlineLevel="0" collapsed="false">
      <c r="A16" s="30" t="s">
        <v>263</v>
      </c>
      <c r="B16" s="59" t="n">
        <f aca="false">모델!$E$29*모델!$E$30</f>
        <v>0</v>
      </c>
      <c r="C16" s="59" t="n">
        <f aca="false">모델!$E$8</f>
        <v>2816</v>
      </c>
      <c r="D16" s="59" t="n">
        <f aca="false">모델!$E$26</f>
        <v>0</v>
      </c>
      <c r="E16" s="2" t="s">
        <v>252</v>
      </c>
      <c r="F16" s="2" t="s">
        <v>67</v>
      </c>
      <c r="G16" s="60" t="n">
        <f aca="false">설정!$B$28</f>
        <v>4</v>
      </c>
      <c r="H16" s="61" t="n">
        <f aca="false">(설정!$B$28/8+IF(설정!$C$28=0,설정!$D$28/8/MAX(1,$B$16),설정!$D$28/8/설정!$C$28))</f>
        <v>0.515625</v>
      </c>
      <c r="I16" s="62" t="n">
        <f aca="false">설정!$B$64</f>
        <v>24000000000000</v>
      </c>
    </row>
    <row r="17" customFormat="false" ht="15" hidden="false" customHeight="false" outlineLevel="0" collapsed="false">
      <c r="A17" s="30" t="s">
        <v>264</v>
      </c>
      <c r="B17" s="59" t="n">
        <f aca="false">모델!$E$8</f>
        <v>2816</v>
      </c>
      <c r="C17" s="59" t="n">
        <f aca="false">모델!$E$36</f>
        <v>128</v>
      </c>
      <c r="D17" s="59" t="n">
        <f aca="false">IF(모델!$E$36&gt;1,모델!$E$7,0)</f>
        <v>30</v>
      </c>
      <c r="E17" s="2" t="s">
        <v>252</v>
      </c>
      <c r="F17" s="2" t="s">
        <v>71</v>
      </c>
      <c r="G17" s="60" t="n">
        <f aca="false">설정!$B$30</f>
        <v>8</v>
      </c>
      <c r="H17" s="61" t="n">
        <f aca="false">(설정!$B$30/8+IF(설정!$C$30=0,설정!$D$30/8/MAX(1,$B$17),설정!$D$30/8/설정!$C$30))</f>
        <v>1.015625</v>
      </c>
      <c r="I17" s="62" t="n">
        <f aca="false">설정!$B$66</f>
        <v>24000000000000</v>
      </c>
    </row>
    <row r="18" customFormat="false" ht="15" hidden="false" customHeight="false" outlineLevel="0" collapsed="false">
      <c r="A18" s="30" t="s">
        <v>265</v>
      </c>
      <c r="B18" s="59" t="n">
        <f aca="false">모델!$E$8</f>
        <v>2816</v>
      </c>
      <c r="C18" s="59" t="n">
        <f aca="false">모델!$E$34</f>
        <v>2112</v>
      </c>
      <c r="D18" s="59" t="n">
        <f aca="false">IF(AND(모델!$E$34&gt;0,모델!$E$35&gt;=3),모델!$E$7,0)</f>
        <v>30</v>
      </c>
      <c r="E18" s="2" t="s">
        <v>252</v>
      </c>
      <c r="F18" s="2" t="s">
        <v>69</v>
      </c>
      <c r="G18" s="60" t="n">
        <f aca="false">설정!$B$29</f>
        <v>4</v>
      </c>
      <c r="H18" s="61" t="n">
        <f aca="false">(설정!$B$29/8+IF(설정!$C$29=0,설정!$D$29/8/MAX(1,$B$18),설정!$D$29/8/설정!$C$29))</f>
        <v>0.515625</v>
      </c>
      <c r="I18" s="62" t="n">
        <f aca="false">설정!$B$65</f>
        <v>24000000000000</v>
      </c>
    </row>
    <row r="19" customFormat="false" ht="15" hidden="false" customHeight="false" outlineLevel="0" collapsed="false">
      <c r="A19" s="30" t="s">
        <v>266</v>
      </c>
      <c r="B19" s="59" t="n">
        <f aca="false">모델!$E$8</f>
        <v>2816</v>
      </c>
      <c r="C19" s="59" t="n">
        <f aca="false">모델!$E$34</f>
        <v>2112</v>
      </c>
      <c r="D19" s="59" t="n">
        <f aca="false">IF(모델!$E$34&gt;0,모델!$E$7,0)</f>
        <v>30</v>
      </c>
      <c r="E19" s="2" t="s">
        <v>252</v>
      </c>
      <c r="F19" s="2" t="s">
        <v>69</v>
      </c>
      <c r="G19" s="60" t="n">
        <f aca="false">설정!$B$29</f>
        <v>4</v>
      </c>
      <c r="H19" s="61" t="n">
        <f aca="false">(설정!$B$29/8+IF(설정!$C$29=0,설정!$D$29/8/MAX(1,$B$19),설정!$D$29/8/설정!$C$29))</f>
        <v>0.515625</v>
      </c>
      <c r="I19" s="62" t="n">
        <f aca="false">설정!$B$65</f>
        <v>24000000000000</v>
      </c>
    </row>
    <row r="20" customFormat="false" ht="15" hidden="false" customHeight="false" outlineLevel="0" collapsed="false">
      <c r="A20" s="30" t="s">
        <v>267</v>
      </c>
      <c r="B20" s="59" t="n">
        <f aca="false">모델!$E$34</f>
        <v>2112</v>
      </c>
      <c r="C20" s="59" t="n">
        <f aca="false">모델!$E$8</f>
        <v>2816</v>
      </c>
      <c r="D20" s="59" t="n">
        <f aca="false">IF(모델!$E$34&gt;0,모델!$E$7,0)</f>
        <v>30</v>
      </c>
      <c r="E20" s="2" t="s">
        <v>252</v>
      </c>
      <c r="F20" s="2" t="s">
        <v>69</v>
      </c>
      <c r="G20" s="60" t="n">
        <f aca="false">설정!$B$29</f>
        <v>4</v>
      </c>
      <c r="H20" s="61" t="n">
        <f aca="false">(설정!$B$29/8+IF(설정!$C$29=0,설정!$D$29/8/MAX(1,$B$20),설정!$D$29/8/설정!$C$29))</f>
        <v>0.515625</v>
      </c>
      <c r="I20" s="62" t="n">
        <f aca="false">설정!$B$65</f>
        <v>24000000000000</v>
      </c>
    </row>
    <row r="21" customFormat="false" ht="15" hidden="false" customHeight="false" outlineLevel="0" collapsed="false">
      <c r="A21" s="30" t="s">
        <v>268</v>
      </c>
      <c r="B21" s="59" t="n">
        <f aca="false">모델!$E$8</f>
        <v>2816</v>
      </c>
      <c r="C21" s="59" t="n">
        <f aca="false">모델!$E$38</f>
        <v>704</v>
      </c>
      <c r="D21" s="59" t="n">
        <f aca="false">IF(AND(모델!$E$36&gt;1,모델!$E$35&gt;=3),모델!$E$7,0)</f>
        <v>30</v>
      </c>
      <c r="E21" s="2" t="s">
        <v>269</v>
      </c>
      <c r="F21" s="2" t="s">
        <v>69</v>
      </c>
      <c r="G21" s="60" t="n">
        <f aca="false">설정!$B$29</f>
        <v>4</v>
      </c>
      <c r="H21" s="61" t="n">
        <f aca="false">(설정!$B$29/8+IF(설정!$C$29=0,설정!$D$29/8/MAX(1,$B$21),설정!$D$29/8/설정!$C$29))</f>
        <v>0.515625</v>
      </c>
      <c r="I21" s="62" t="n">
        <f aca="false">설정!$B$65</f>
        <v>24000000000000</v>
      </c>
    </row>
    <row r="22" customFormat="false" ht="15" hidden="false" customHeight="false" outlineLevel="0" collapsed="false">
      <c r="A22" s="30" t="s">
        <v>270</v>
      </c>
      <c r="B22" s="59" t="n">
        <f aca="false">모델!$E$8</f>
        <v>2816</v>
      </c>
      <c r="C22" s="59" t="n">
        <f aca="false">모델!$E$38</f>
        <v>704</v>
      </c>
      <c r="D22" s="59" t="n">
        <f aca="false">IF(모델!$E$36&gt;1,모델!$E$7,0)</f>
        <v>30</v>
      </c>
      <c r="E22" s="2" t="s">
        <v>269</v>
      </c>
      <c r="F22" s="2" t="s">
        <v>69</v>
      </c>
      <c r="G22" s="60" t="n">
        <f aca="false">설정!$B$29</f>
        <v>4</v>
      </c>
      <c r="H22" s="61" t="n">
        <f aca="false">(설정!$B$29/8+IF(설정!$C$29=0,설정!$D$29/8/MAX(1,$B$22),설정!$D$29/8/설정!$C$29))</f>
        <v>0.515625</v>
      </c>
      <c r="I22" s="62" t="n">
        <f aca="false">설정!$B$65</f>
        <v>24000000000000</v>
      </c>
    </row>
    <row r="23" customFormat="false" ht="15" hidden="false" customHeight="false" outlineLevel="0" collapsed="false">
      <c r="A23" s="30" t="s">
        <v>271</v>
      </c>
      <c r="B23" s="59" t="n">
        <f aca="false">모델!$E$38</f>
        <v>704</v>
      </c>
      <c r="C23" s="59" t="n">
        <f aca="false">모델!$E$8</f>
        <v>2816</v>
      </c>
      <c r="D23" s="59" t="n">
        <f aca="false">IF(모델!$E$36&gt;1,모델!$E$7,0)</f>
        <v>30</v>
      </c>
      <c r="E23" s="2" t="s">
        <v>269</v>
      </c>
      <c r="F23" s="2" t="s">
        <v>69</v>
      </c>
      <c r="G23" s="60" t="n">
        <f aca="false">설정!$B$29</f>
        <v>4</v>
      </c>
      <c r="H23" s="61" t="n">
        <f aca="false">(설정!$B$29/8+IF(설정!$C$29=0,설정!$D$29/8/MAX(1,$B$23),설정!$D$29/8/설정!$C$29))</f>
        <v>0.515625</v>
      </c>
      <c r="I23" s="62" t="n">
        <f aca="false">설정!$B$65</f>
        <v>24000000000000</v>
      </c>
    </row>
    <row r="24" customFormat="false" ht="15" hidden="false" customHeight="false" outlineLevel="0" collapsed="false">
      <c r="A24" s="30" t="s">
        <v>272</v>
      </c>
      <c r="B24" s="59" t="n">
        <f aca="false">모델!$E$8</f>
        <v>2816</v>
      </c>
      <c r="C24" s="59" t="n">
        <f aca="false">모델!$E$9</f>
        <v>262144</v>
      </c>
      <c r="D24" s="59" t="n">
        <f aca="false">1</f>
        <v>1</v>
      </c>
      <c r="E24" s="2" t="s">
        <v>273</v>
      </c>
      <c r="F24" s="2" t="s">
        <v>73</v>
      </c>
      <c r="G24" s="60" t="n">
        <f aca="false">설정!$B$31</f>
        <v>4</v>
      </c>
      <c r="H24" s="61" t="n">
        <f aca="false">(설정!$B$31/8+IF(설정!$C$31=0,설정!$D$31/8/MAX(1,$B$24),설정!$D$31/8/설정!$C$31))</f>
        <v>0.515625</v>
      </c>
      <c r="I24" s="62" t="n">
        <f aca="false">설정!$B$67</f>
        <v>24000000000000</v>
      </c>
    </row>
    <row r="25" customFormat="false" ht="17.15" hidden="false" customHeight="false" outlineLevel="0" collapsed="false">
      <c r="A25" s="22" t="s">
        <v>274</v>
      </c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7.15" hidden="false" customHeight="false" outlineLevel="0" collapsed="false">
      <c r="A27" s="28" t="s">
        <v>275</v>
      </c>
      <c r="B27" s="29"/>
      <c r="C27" s="29"/>
      <c r="D27" s="29"/>
      <c r="E27" s="29"/>
      <c r="F27" s="29"/>
      <c r="G27" s="29"/>
      <c r="H27" s="29"/>
      <c r="I27" s="29"/>
    </row>
    <row r="28" customFormat="false" ht="17.15" hidden="false" customHeight="false" outlineLevel="0" collapsed="false">
      <c r="A28" s="7" t="s">
        <v>276</v>
      </c>
      <c r="B28" s="63" t="n">
        <f aca="false">설정!$B$54</f>
        <v>128</v>
      </c>
      <c r="C28" s="63" t="n">
        <f aca="false">설정!$C$54</f>
        <v>256</v>
      </c>
      <c r="D28" s="63" t="n">
        <f aca="false">설정!$D$54</f>
        <v>512</v>
      </c>
      <c r="E28" s="63" t="n">
        <f aca="false">설정!$E$54</f>
        <v>1024</v>
      </c>
      <c r="F28" s="63" t="n">
        <f aca="false">설정!$F$54</f>
        <v>2048</v>
      </c>
      <c r="G28" s="63" t="n">
        <f aca="false">설정!$G$54</f>
        <v>4096</v>
      </c>
      <c r="H28" s="63" t="n">
        <f aca="false">설정!$H$54</f>
        <v>8192</v>
      </c>
      <c r="I28" s="2"/>
    </row>
    <row r="29" customFormat="false" ht="17.15" hidden="false" customHeight="false" outlineLevel="0" collapsed="false">
      <c r="A29" s="33" t="s">
        <v>277</v>
      </c>
      <c r="B29" s="64" t="n">
        <f aca="false">IF(모델!$E$36&gt;1,IF(AND(설정!$B$47="실측",ISNUMBER('Expert 실측'!$E$7)),MIN(모델!$E$36,MAX(1,'Expert 실측'!$E$7)),모델!$E$36*(1-EXP(MAX(-700,B28*LN(1-MIN(모델!$E$37/모델!$E$36,0.999999)))))),1)</f>
        <v>127.966922448916</v>
      </c>
      <c r="C29" s="64" t="n">
        <f aca="false">IF(모델!$E$36&gt;1,IF(AND(설정!$B$47="실측",ISNUMBER('Expert 실측'!$E$8)),MIN(모델!$E$36,MAX(1,'Expert 실측'!$E$8)),모델!$E$36*(1-EXP(MAX(-700,C28*LN(1-MIN(모델!$E$37/모델!$E$36,0.999999)))))),1)</f>
        <v>127.999991452153</v>
      </c>
      <c r="D29" s="64" t="n">
        <f aca="false">IF(모델!$E$36&gt;1,IF(AND(설정!$B$47="실측",ISNUMBER('Expert 실측'!$E$9)),MIN(모델!$E$36,MAX(1,'Expert 실측'!$E$9)),모델!$E$36*(1-EXP(MAX(-700,D28*LN(1-MIN(모델!$E$37/모델!$E$36,0.999999)))))),1)</f>
        <v>127.999999999999</v>
      </c>
      <c r="E29" s="64" t="n">
        <f aca="false">IF(모델!$E$36&gt;1,IF(AND(설정!$B$47="실측",ISNUMBER('Expert 실측'!$E$10)),MIN(모델!$E$36,MAX(1,'Expert 실측'!$E$10)),모델!$E$36*(1-EXP(MAX(-700,E28*LN(1-MIN(모델!$E$37/모델!$E$36,0.999999)))))),1)</f>
        <v>128</v>
      </c>
      <c r="F29" s="64" t="n">
        <f aca="false">IF(모델!$E$36&gt;1,IF(AND(설정!$B$47="실측",ISNUMBER('Expert 실측'!$E$11)),MIN(모델!$E$36,MAX(1,'Expert 실측'!$E$11)),모델!$E$36*(1-EXP(MAX(-700,F28*LN(1-MIN(모델!$E$37/모델!$E$36,0.999999)))))),1)</f>
        <v>128</v>
      </c>
      <c r="G29" s="64" t="n">
        <f aca="false">IF(모델!$E$36&gt;1,IF(AND(설정!$B$47="실측",ISNUMBER('Expert 실측'!$E$12)),MIN(모델!$E$36,MAX(1,'Expert 실측'!$E$12)),모델!$E$36*(1-EXP(MAX(-700,G28*LN(1-MIN(모델!$E$37/모델!$E$36,0.999999)))))),1)</f>
        <v>128</v>
      </c>
      <c r="H29" s="64" t="n">
        <f aca="false">IF(모델!$E$36&gt;1,IF(AND(설정!$B$47="실측",ISNUMBER('Expert 실측'!$E$13)),MIN(모델!$E$36,MAX(1,'Expert 실측'!$E$13)),모델!$E$36*(1-EXP(MAX(-700,H28*LN(1-MIN(모델!$E$37/모델!$E$36,0.999999)))))),1)</f>
        <v>128</v>
      </c>
      <c r="I29" s="2"/>
    </row>
    <row r="30" customFormat="false" ht="17.15" hidden="false" customHeight="false" outlineLevel="0" collapsed="false">
      <c r="A30" s="30" t="s">
        <v>278</v>
      </c>
      <c r="B30" s="65" t="n">
        <f aca="false">IF(모델!$E$36&gt;1,B29/모델!$E$36,1)</f>
        <v>0.99974158163216</v>
      </c>
      <c r="C30" s="65" t="n">
        <f aca="false">IF(모델!$E$36&gt;1,C29/모델!$E$36,1)</f>
        <v>0.999999933219947</v>
      </c>
      <c r="D30" s="65" t="n">
        <f aca="false">IF(모델!$E$36&gt;1,D29/모델!$E$36,1)</f>
        <v>0.999999999999996</v>
      </c>
      <c r="E30" s="65" t="n">
        <f aca="false">IF(모델!$E$36&gt;1,E29/모델!$E$36,1)</f>
        <v>1</v>
      </c>
      <c r="F30" s="65" t="n">
        <f aca="false">IF(모델!$E$36&gt;1,F29/모델!$E$36,1)</f>
        <v>1</v>
      </c>
      <c r="G30" s="65" t="n">
        <f aca="false">IF(모델!$E$36&gt;1,G29/모델!$E$36,1)</f>
        <v>1</v>
      </c>
      <c r="H30" s="65" t="n">
        <f aca="false">IF(모델!$E$36&gt;1,H29/모델!$E$36,1)</f>
        <v>1</v>
      </c>
      <c r="I30" s="32" t="s">
        <v>279</v>
      </c>
    </row>
    <row r="31" customFormat="false" ht="17.15" hidden="false" customHeight="false" outlineLevel="0" collapsed="false">
      <c r="A31" s="30" t="s">
        <v>280</v>
      </c>
      <c r="B31" s="66" t="n">
        <f aca="false">IF(모델!$E$36&gt;1,B28*모델!$E$37/B29,B28)</f>
        <v>8.00206788132124</v>
      </c>
      <c r="C31" s="66" t="n">
        <f aca="false">IF(모델!$E$36&gt;1,C28*모델!$E$37/C29,C28)</f>
        <v>16.0000010684809</v>
      </c>
      <c r="D31" s="66" t="n">
        <f aca="false">IF(모델!$E$36&gt;1,D28*모델!$E$37/D29,D28)</f>
        <v>32.0000000000001</v>
      </c>
      <c r="E31" s="66" t="n">
        <f aca="false">IF(모델!$E$36&gt;1,E28*모델!$E$37/E29,E28)</f>
        <v>64</v>
      </c>
      <c r="F31" s="66" t="n">
        <f aca="false">IF(모델!$E$36&gt;1,F28*모델!$E$37/F29,F28)</f>
        <v>128</v>
      </c>
      <c r="G31" s="66" t="n">
        <f aca="false">IF(모델!$E$36&gt;1,G28*모델!$E$37/G29,G28)</f>
        <v>256</v>
      </c>
      <c r="H31" s="66" t="n">
        <f aca="false">IF(모델!$E$36&gt;1,H28*모델!$E$37/H29,H28)</f>
        <v>512</v>
      </c>
      <c r="I31" s="2"/>
    </row>
    <row r="32" customFormat="false" ht="17.15" hidden="false" customHeight="false" outlineLevel="0" collapsed="false">
      <c r="A32" s="30" t="s">
        <v>281</v>
      </c>
      <c r="B32" s="67" t="n">
        <f aca="false">($D$5)*2*(B$28)*$B$5*$C$5</f>
        <v>29527900160</v>
      </c>
      <c r="C32" s="67" t="n">
        <f aca="false">($D$5)*2*(C$28)*$B$5*$C$5</f>
        <v>59055800320</v>
      </c>
      <c r="D32" s="67" t="n">
        <f aca="false">($D$5)*2*(D$28)*$B$5*$C$5</f>
        <v>118111600640</v>
      </c>
      <c r="E32" s="67" t="n">
        <f aca="false">($D$5)*2*(E$28)*$B$5*$C$5</f>
        <v>236223201280</v>
      </c>
      <c r="F32" s="67" t="n">
        <f aca="false">($D$5)*2*(F$28)*$B$5*$C$5</f>
        <v>472446402560</v>
      </c>
      <c r="G32" s="67" t="n">
        <f aca="false">($D$5)*2*(G$28)*$B$5*$C$5</f>
        <v>944892805120</v>
      </c>
      <c r="H32" s="67" t="n">
        <f aca="false">($D$5)*2*(H$28)*$B$5*$C$5</f>
        <v>1889785610240</v>
      </c>
      <c r="I32" s="2"/>
    </row>
    <row r="33" customFormat="false" ht="17.15" hidden="false" customHeight="false" outlineLevel="0" collapsed="false">
      <c r="A33" s="30" t="s">
        <v>282</v>
      </c>
      <c r="B33" s="67" t="n">
        <f aca="false">($D$5)*MIN(($B$5*$C$5*$H$5)*MAX(1,ROUNDUP(((B$28)*$B$5*설정!$B$57)/설정!$B$61,0))+((B$28)*$B$5*설정!$B$57)+((B$28)*$C$5*설정!$B$57),($B$5*$C$5*$H$5)+((B$28)*$B$5*설정!$B$57)*MAX(1,ROUNDUP(($B$5*$C$5*$H$5)/설정!$B$61,0))+((B$28)*$C$5*설정!$B$57))</f>
        <v>66519040</v>
      </c>
      <c r="C33" s="67" t="n">
        <f aca="false">($D$5)*MIN(($B$5*$C$5*$H$5)*MAX(1,ROUNDUP(((C$28)*$B$5*설정!$B$57)/설정!$B$61,0))+((C$28)*$B$5*설정!$B$57)+((C$28)*$C$5*설정!$B$57),($B$5*$C$5*$H$5)+((C$28)*$B$5*설정!$B$57)*MAX(1,ROUNDUP(($B$5*$C$5*$H$5)/설정!$B$61,0))+((C$28)*$C$5*설정!$B$57))</f>
        <v>73564160</v>
      </c>
      <c r="D33" s="67" t="n">
        <f aca="false">($D$5)*MIN(($B$5*$C$5*$H$5)*MAX(1,ROUNDUP(((D$28)*$B$5*설정!$B$57)/설정!$B$61,0))+((D$28)*$B$5*설정!$B$57)+((D$28)*$C$5*설정!$B$57),($B$5*$C$5*$H$5)+((D$28)*$B$5*설정!$B$57)*MAX(1,ROUNDUP(($B$5*$C$5*$H$5)/설정!$B$61,0))+((D$28)*$C$5*설정!$B$57))</f>
        <v>87654400</v>
      </c>
      <c r="E33" s="67" t="n">
        <f aca="false">($D$5)*MIN(($B$5*$C$5*$H$5)*MAX(1,ROUNDUP(((E$28)*$B$5*설정!$B$57)/설정!$B$61,0))+((E$28)*$B$5*설정!$B$57)+((E$28)*$C$5*설정!$B$57),($B$5*$C$5*$H$5)+((E$28)*$B$5*설정!$B$57)*MAX(1,ROUNDUP(($B$5*$C$5*$H$5)/설정!$B$61,0))+((E$28)*$C$5*설정!$B$57))</f>
        <v>175308800</v>
      </c>
      <c r="F33" s="67" t="n">
        <f aca="false">($D$5)*MIN(($B$5*$C$5*$H$5)*MAX(1,ROUNDUP(((F$28)*$B$5*설정!$B$57)/설정!$B$61,0))+((F$28)*$B$5*설정!$B$57)+((F$28)*$C$5*설정!$B$57),($B$5*$C$5*$H$5)+((F$28)*$B$5*설정!$B$57)*MAX(1,ROUNDUP(($B$5*$C$5*$H$5)/설정!$B$61,0))+((F$28)*$C$5*설정!$B$57))</f>
        <v>350617600</v>
      </c>
      <c r="G33" s="67" t="n">
        <f aca="false">($D$5)*MIN(($B$5*$C$5*$H$5)*MAX(1,ROUNDUP(((G$28)*$B$5*설정!$B$57)/설정!$B$61,0))+((G$28)*$B$5*설정!$B$57)+((G$28)*$C$5*설정!$B$57),($B$5*$C$5*$H$5)+((G$28)*$B$5*설정!$B$57)*MAX(1,ROUNDUP(($B$5*$C$5*$H$5)/설정!$B$61,0))+((G$28)*$C$5*설정!$B$57))</f>
        <v>641761280</v>
      </c>
      <c r="H33" s="67" t="n">
        <f aca="false">($D$5)*MIN(($B$5*$C$5*$H$5)*MAX(1,ROUNDUP(((H$28)*$B$5*설정!$B$57)/설정!$B$61,0))+((H$28)*$B$5*설정!$B$57)+((H$28)*$C$5*설정!$B$57),($B$5*$C$5*$H$5)+((H$28)*$B$5*설정!$B$57)*MAX(1,ROUNDUP(($B$5*$C$5*$H$5)/설정!$B$61,0))+((H$28)*$C$5*설정!$B$57))</f>
        <v>1283522560</v>
      </c>
      <c r="I33" s="2"/>
    </row>
    <row r="34" customFormat="false" ht="17.15" hidden="false" customHeight="false" outlineLevel="0" collapsed="false">
      <c r="A34" s="30" t="s">
        <v>283</v>
      </c>
      <c r="B34" s="68" t="n">
        <f aca="false">MAX(B32/$I$5,B33/설정!$B$60)*1000</f>
        <v>1.30429490196078</v>
      </c>
      <c r="C34" s="68" t="n">
        <f aca="false">MAX(C32/$I$5,C33/설정!$B$60)*1000</f>
        <v>2.46065834666667</v>
      </c>
      <c r="D34" s="68" t="n">
        <f aca="false">MAX(D32/$I$5,D33/설정!$B$60)*1000</f>
        <v>4.92131669333333</v>
      </c>
      <c r="E34" s="68" t="n">
        <f aca="false">MAX(E32/$I$5,E33/설정!$B$60)*1000</f>
        <v>9.84263338666667</v>
      </c>
      <c r="F34" s="68" t="n">
        <f aca="false">MAX(F32/$I$5,F33/설정!$B$60)*1000</f>
        <v>19.6852667733333</v>
      </c>
      <c r="G34" s="68" t="n">
        <f aca="false">MAX(G32/$I$5,G33/설정!$B$60)*1000</f>
        <v>39.3705335466667</v>
      </c>
      <c r="H34" s="68" t="n">
        <f aca="false">MAX(H32/$I$5,H33/설정!$B$60)*1000</f>
        <v>78.7410670933333</v>
      </c>
      <c r="I34" s="2"/>
    </row>
    <row r="35" customFormat="false" ht="17.15" hidden="false" customHeight="false" outlineLevel="0" collapsed="false">
      <c r="A35" s="30" t="s">
        <v>284</v>
      </c>
      <c r="B35" s="67" t="n">
        <f aca="false">($D$6)*2*(B$28)*$B$6*$C$6</f>
        <v>3690987520</v>
      </c>
      <c r="C35" s="67" t="n">
        <f aca="false">($D$6)*2*(C$28)*$B$6*$C$6</f>
        <v>7381975040</v>
      </c>
      <c r="D35" s="67" t="n">
        <f aca="false">($D$6)*2*(D$28)*$B$6*$C$6</f>
        <v>14763950080</v>
      </c>
      <c r="E35" s="67" t="n">
        <f aca="false">($D$6)*2*(E$28)*$B$6*$C$6</f>
        <v>29527900160</v>
      </c>
      <c r="F35" s="67" t="n">
        <f aca="false">($D$6)*2*(F$28)*$B$6*$C$6</f>
        <v>59055800320</v>
      </c>
      <c r="G35" s="67" t="n">
        <f aca="false">($D$6)*2*(G$28)*$B$6*$C$6</f>
        <v>118111600640</v>
      </c>
      <c r="H35" s="67" t="n">
        <f aca="false">($D$6)*2*(H$28)*$B$6*$C$6</f>
        <v>236223201280</v>
      </c>
      <c r="I35" s="2"/>
    </row>
    <row r="36" customFormat="false" ht="17.15" hidden="false" customHeight="false" outlineLevel="0" collapsed="false">
      <c r="A36" s="30" t="s">
        <v>285</v>
      </c>
      <c r="B36" s="67" t="n">
        <f aca="false">($D$6)*MIN(($B$6*$C$6*$H$6)*MAX(1,ROUNDUP(((B$28)*$B$6*설정!$B$57)/설정!$B$61,0))+((B$28)*$B$6*설정!$B$57)+((B$28)*$C$6*설정!$B$57),($B$6*$C$6*$H$6)+((B$28)*$B$6*설정!$B$57)*MAX(1,ROUNDUP(($B$6*$C$6*$H$6)/설정!$B$61,0))+((B$28)*$C$6*설정!$B$57))</f>
        <v>9891840</v>
      </c>
      <c r="C36" s="67" t="n">
        <f aca="false">($D$6)*MIN(($B$6*$C$6*$H$6)*MAX(1,ROUNDUP(((C$28)*$B$6*설정!$B$57)/설정!$B$61,0))+((C$28)*$B$6*설정!$B$57)+((C$28)*$C$6*설정!$B$57),($B$6*$C$6*$H$6)+((C$28)*$B$6*설정!$B$57)*MAX(1,ROUNDUP(($B$6*$C$6*$H$6)/설정!$B$61,0))+((C$28)*$C$6*설정!$B$57))</f>
        <v>12349440</v>
      </c>
      <c r="D36" s="67" t="n">
        <f aca="false">($D$6)*MIN(($B$6*$C$6*$H$6)*MAX(1,ROUNDUP(((D$28)*$B$6*설정!$B$57)/설정!$B$61,0))+((D$28)*$B$6*설정!$B$57)+((D$28)*$C$6*설정!$B$57),($B$6*$C$6*$H$6)+((D$28)*$B$6*설정!$B$57)*MAX(1,ROUNDUP(($B$6*$C$6*$H$6)/설정!$B$61,0))+((D$28)*$C$6*설정!$B$57))</f>
        <v>17264640</v>
      </c>
      <c r="E36" s="67" t="n">
        <f aca="false">($D$6)*MIN(($B$6*$C$6*$H$6)*MAX(1,ROUNDUP(((E$28)*$B$6*설정!$B$57)/설정!$B$61,0))+((E$28)*$B$6*설정!$B$57)+((E$28)*$C$6*설정!$B$57),($B$6*$C$6*$H$6)+((E$28)*$B$6*설정!$B$57)*MAX(1,ROUNDUP(($B$6*$C$6*$H$6)/설정!$B$61,0))+((E$28)*$C$6*설정!$B$57))</f>
        <v>27095040</v>
      </c>
      <c r="F36" s="67" t="n">
        <f aca="false">($D$6)*MIN(($B$6*$C$6*$H$6)*MAX(1,ROUNDUP(((F$28)*$B$6*설정!$B$57)/설정!$B$61,0))+((F$28)*$B$6*설정!$B$57)+((F$28)*$C$6*설정!$B$57),($B$6*$C$6*$H$6)+((F$28)*$B$6*설정!$B$57)*MAX(1,ROUNDUP(($B$6*$C$6*$H$6)/설정!$B$61,0))+((F$28)*$C$6*설정!$B$57))</f>
        <v>46755840</v>
      </c>
      <c r="G36" s="67" t="n">
        <f aca="false">($D$6)*MIN(($B$6*$C$6*$H$6)*MAX(1,ROUNDUP(((G$28)*$B$6*설정!$B$57)/설정!$B$61,0))+((G$28)*$B$6*설정!$B$57)+((G$28)*$C$6*설정!$B$57),($B$6*$C$6*$H$6)+((G$28)*$B$6*설정!$B$57)*MAX(1,ROUNDUP(($B$6*$C$6*$H$6)/설정!$B$61,0))+((G$28)*$C$6*설정!$B$57))</f>
        <v>86077440</v>
      </c>
      <c r="H36" s="67" t="n">
        <f aca="false">($D$6)*MIN(($B$6*$C$6*$H$6)*MAX(1,ROUNDUP(((H$28)*$B$6*설정!$B$57)/설정!$B$61,0))+((H$28)*$B$6*설정!$B$57)+((H$28)*$C$6*설정!$B$57),($B$6*$C$6*$H$6)+((H$28)*$B$6*설정!$B$57)*MAX(1,ROUNDUP(($B$6*$C$6*$H$6)/설정!$B$61,0))+((H$28)*$C$6*설정!$B$57))</f>
        <v>164720640</v>
      </c>
      <c r="I36" s="2"/>
    </row>
    <row r="37" customFormat="false" ht="17.15" hidden="false" customHeight="false" outlineLevel="0" collapsed="false">
      <c r="A37" s="30" t="s">
        <v>286</v>
      </c>
      <c r="B37" s="68" t="n">
        <f aca="false">MAX(B35/$I$6,B36/설정!$B$60)*1000</f>
        <v>0.193957647058824</v>
      </c>
      <c r="C37" s="68" t="n">
        <f aca="false">MAX(C35/$I$6,C36/설정!$B$60)*1000</f>
        <v>0.307582293333333</v>
      </c>
      <c r="D37" s="68" t="n">
        <f aca="false">MAX(D35/$I$6,D36/설정!$B$60)*1000</f>
        <v>0.615164586666667</v>
      </c>
      <c r="E37" s="68" t="n">
        <f aca="false">MAX(E35/$I$6,E36/설정!$B$60)*1000</f>
        <v>1.23032917333333</v>
      </c>
      <c r="F37" s="68" t="n">
        <f aca="false">MAX(F35/$I$6,F36/설정!$B$60)*1000</f>
        <v>2.46065834666667</v>
      </c>
      <c r="G37" s="68" t="n">
        <f aca="false">MAX(G35/$I$6,G36/설정!$B$60)*1000</f>
        <v>4.92131669333333</v>
      </c>
      <c r="H37" s="68" t="n">
        <f aca="false">MAX(H35/$I$6,H36/설정!$B$60)*1000</f>
        <v>9.84263338666667</v>
      </c>
      <c r="I37" s="2"/>
    </row>
    <row r="38" customFormat="false" ht="17.15" hidden="false" customHeight="false" outlineLevel="0" collapsed="false">
      <c r="A38" s="30" t="s">
        <v>287</v>
      </c>
      <c r="B38" s="67" t="n">
        <f aca="false">($D$7)*2*(B$28)*$B$7*$C$7</f>
        <v>0</v>
      </c>
      <c r="C38" s="67" t="n">
        <f aca="false">($D$7)*2*(C$28)*$B$7*$C$7</f>
        <v>0</v>
      </c>
      <c r="D38" s="67" t="n">
        <f aca="false">($D$7)*2*(D$28)*$B$7*$C$7</f>
        <v>0</v>
      </c>
      <c r="E38" s="67" t="n">
        <f aca="false">($D$7)*2*(E$28)*$B$7*$C$7</f>
        <v>0</v>
      </c>
      <c r="F38" s="67" t="n">
        <f aca="false">($D$7)*2*(F$28)*$B$7*$C$7</f>
        <v>0</v>
      </c>
      <c r="G38" s="67" t="n">
        <f aca="false">($D$7)*2*(G$28)*$B$7*$C$7</f>
        <v>0</v>
      </c>
      <c r="H38" s="67" t="n">
        <f aca="false">($D$7)*2*(H$28)*$B$7*$C$7</f>
        <v>0</v>
      </c>
      <c r="I38" s="2"/>
    </row>
    <row r="39" customFormat="false" ht="17.15" hidden="false" customHeight="false" outlineLevel="0" collapsed="false">
      <c r="A39" s="30" t="s">
        <v>288</v>
      </c>
      <c r="B39" s="67" t="n">
        <f aca="false">($D$7)*MIN(($B$7*$C$7*$H$7)*MAX(1,ROUNDUP(((B$28)*$B$7*설정!$B$57)/설정!$B$61,0))+((B$28)*$B$7*설정!$B$57)+((B$28)*$C$7*설정!$B$57),($B$7*$C$7*$H$7)+((B$28)*$B$7*설정!$B$57)*MAX(1,ROUNDUP(($B$7*$C$7*$H$7)/설정!$B$61,0))+((B$28)*$C$7*설정!$B$57))</f>
        <v>0</v>
      </c>
      <c r="C39" s="67" t="n">
        <f aca="false">($D$7)*MIN(($B$7*$C$7*$H$7)*MAX(1,ROUNDUP(((C$28)*$B$7*설정!$B$57)/설정!$B$61,0))+((C$28)*$B$7*설정!$B$57)+((C$28)*$C$7*설정!$B$57),($B$7*$C$7*$H$7)+((C$28)*$B$7*설정!$B$57)*MAX(1,ROUNDUP(($B$7*$C$7*$H$7)/설정!$B$61,0))+((C$28)*$C$7*설정!$B$57))</f>
        <v>0</v>
      </c>
      <c r="D39" s="67" t="n">
        <f aca="false">($D$7)*MIN(($B$7*$C$7*$H$7)*MAX(1,ROUNDUP(((D$28)*$B$7*설정!$B$57)/설정!$B$61,0))+((D$28)*$B$7*설정!$B$57)+((D$28)*$C$7*설정!$B$57),($B$7*$C$7*$H$7)+((D$28)*$B$7*설정!$B$57)*MAX(1,ROUNDUP(($B$7*$C$7*$H$7)/설정!$B$61,0))+((D$28)*$C$7*설정!$B$57))</f>
        <v>0</v>
      </c>
      <c r="E39" s="67" t="n">
        <f aca="false">($D$7)*MIN(($B$7*$C$7*$H$7)*MAX(1,ROUNDUP(((E$28)*$B$7*설정!$B$57)/설정!$B$61,0))+((E$28)*$B$7*설정!$B$57)+((E$28)*$C$7*설정!$B$57),($B$7*$C$7*$H$7)+((E$28)*$B$7*설정!$B$57)*MAX(1,ROUNDUP(($B$7*$C$7*$H$7)/설정!$B$61,0))+((E$28)*$C$7*설정!$B$57))</f>
        <v>0</v>
      </c>
      <c r="F39" s="67" t="n">
        <f aca="false">($D$7)*MIN(($B$7*$C$7*$H$7)*MAX(1,ROUNDUP(((F$28)*$B$7*설정!$B$57)/설정!$B$61,0))+((F$28)*$B$7*설정!$B$57)+((F$28)*$C$7*설정!$B$57),($B$7*$C$7*$H$7)+((F$28)*$B$7*설정!$B$57)*MAX(1,ROUNDUP(($B$7*$C$7*$H$7)/설정!$B$61,0))+((F$28)*$C$7*설정!$B$57))</f>
        <v>0</v>
      </c>
      <c r="G39" s="67" t="n">
        <f aca="false">($D$7)*MIN(($B$7*$C$7*$H$7)*MAX(1,ROUNDUP(((G$28)*$B$7*설정!$B$57)/설정!$B$61,0))+((G$28)*$B$7*설정!$B$57)+((G$28)*$C$7*설정!$B$57),($B$7*$C$7*$H$7)+((G$28)*$B$7*설정!$B$57)*MAX(1,ROUNDUP(($B$7*$C$7*$H$7)/설정!$B$61,0))+((G$28)*$C$7*설정!$B$57))</f>
        <v>0</v>
      </c>
      <c r="H39" s="67" t="n">
        <f aca="false">($D$7)*MIN(($B$7*$C$7*$H$7)*MAX(1,ROUNDUP(((H$28)*$B$7*설정!$B$57)/설정!$B$61,0))+((H$28)*$B$7*설정!$B$57)+((H$28)*$C$7*설정!$B$57),($B$7*$C$7*$H$7)+((H$28)*$B$7*설정!$B$57)*MAX(1,ROUNDUP(($B$7*$C$7*$H$7)/설정!$B$61,0))+((H$28)*$C$7*설정!$B$57))</f>
        <v>0</v>
      </c>
      <c r="I39" s="2"/>
    </row>
    <row r="40" customFormat="false" ht="17.15" hidden="false" customHeight="false" outlineLevel="0" collapsed="false">
      <c r="A40" s="30" t="s">
        <v>289</v>
      </c>
      <c r="B40" s="68" t="n">
        <f aca="false">MAX(B38/$I$7,B39/설정!$B$60)*1000</f>
        <v>0</v>
      </c>
      <c r="C40" s="68" t="n">
        <f aca="false">MAX(C38/$I$7,C39/설정!$B$60)*1000</f>
        <v>0</v>
      </c>
      <c r="D40" s="68" t="n">
        <f aca="false">MAX(D38/$I$7,D39/설정!$B$60)*1000</f>
        <v>0</v>
      </c>
      <c r="E40" s="68" t="n">
        <f aca="false">MAX(E38/$I$7,E39/설정!$B$60)*1000</f>
        <v>0</v>
      </c>
      <c r="F40" s="68" t="n">
        <f aca="false">MAX(F38/$I$7,F39/설정!$B$60)*1000</f>
        <v>0</v>
      </c>
      <c r="G40" s="68" t="n">
        <f aca="false">MAX(G38/$I$7,G39/설정!$B$60)*1000</f>
        <v>0</v>
      </c>
      <c r="H40" s="68" t="n">
        <f aca="false">MAX(H38/$I$7,H39/설정!$B$60)*1000</f>
        <v>0</v>
      </c>
      <c r="I40" s="2"/>
    </row>
    <row r="41" customFormat="false" ht="17.15" hidden="false" customHeight="false" outlineLevel="0" collapsed="false">
      <c r="A41" s="30" t="s">
        <v>290</v>
      </c>
      <c r="B41" s="67" t="n">
        <f aca="false">($D$8)*2*(B$28)*$B$8*$C$8</f>
        <v>29527900160</v>
      </c>
      <c r="C41" s="67" t="n">
        <f aca="false">($D$8)*2*(C$28)*$B$8*$C$8</f>
        <v>59055800320</v>
      </c>
      <c r="D41" s="67" t="n">
        <f aca="false">($D$8)*2*(D$28)*$B$8*$C$8</f>
        <v>118111600640</v>
      </c>
      <c r="E41" s="67" t="n">
        <f aca="false">($D$8)*2*(E$28)*$B$8*$C$8</f>
        <v>236223201280</v>
      </c>
      <c r="F41" s="67" t="n">
        <f aca="false">($D$8)*2*(F$28)*$B$8*$C$8</f>
        <v>472446402560</v>
      </c>
      <c r="G41" s="67" t="n">
        <f aca="false">($D$8)*2*(G$28)*$B$8*$C$8</f>
        <v>944892805120</v>
      </c>
      <c r="H41" s="67" t="n">
        <f aca="false">($D$8)*2*(H$28)*$B$8*$C$8</f>
        <v>1889785610240</v>
      </c>
      <c r="I41" s="2"/>
    </row>
    <row r="42" customFormat="false" ht="17.15" hidden="false" customHeight="false" outlineLevel="0" collapsed="false">
      <c r="A42" s="30" t="s">
        <v>291</v>
      </c>
      <c r="B42" s="67" t="n">
        <f aca="false">($D$8)*MIN(($B$8*$C$8*$H$8)*MAX(1,ROUNDUP(((B$28)*$B$8*설정!$B$57)/설정!$B$61,0))+((B$28)*$B$8*설정!$B$57)+((B$28)*$C$8*설정!$B$57),($B$8*$C$8*$H$8)+((B$28)*$B$8*설정!$B$57)*MAX(1,ROUNDUP(($B$8*$C$8*$H$8)/설정!$B$61,0))+((B$28)*$C$8*설정!$B$57))</f>
        <v>66519040</v>
      </c>
      <c r="C42" s="67" t="n">
        <f aca="false">($D$8)*MIN(($B$8*$C$8*$H$8)*MAX(1,ROUNDUP(((C$28)*$B$8*설정!$B$57)/설정!$B$61,0))+((C$28)*$B$8*설정!$B$57)+((C$28)*$C$8*설정!$B$57),($B$8*$C$8*$H$8)+((C$28)*$B$8*설정!$B$57)*MAX(1,ROUNDUP(($B$8*$C$8*$H$8)/설정!$B$61,0))+((C$28)*$C$8*설정!$B$57))</f>
        <v>133038080</v>
      </c>
      <c r="D42" s="67" t="n">
        <f aca="false">($D$8)*MIN(($B$8*$C$8*$H$8)*MAX(1,ROUNDUP(((D$28)*$B$8*설정!$B$57)/설정!$B$61,0))+((D$28)*$B$8*설정!$B$57)+((D$28)*$C$8*설정!$B$57),($B$8*$C$8*$H$8)+((D$28)*$B$8*설정!$B$57)*MAX(1,ROUNDUP(($B$8*$C$8*$H$8)/설정!$B$61,0))+((D$28)*$C$8*설정!$B$57))</f>
        <v>206602240</v>
      </c>
      <c r="E42" s="67" t="n">
        <f aca="false">($D$8)*MIN(($B$8*$C$8*$H$8)*MAX(1,ROUNDUP(((E$28)*$B$8*설정!$B$57)/설정!$B$61,0))+((E$28)*$B$8*설정!$B$57)+((E$28)*$C$8*설정!$B$57),($B$8*$C$8*$H$8)+((E$28)*$B$8*설정!$B$57)*MAX(1,ROUNDUP(($B$8*$C$8*$H$8)/설정!$B$61,0))+((E$28)*$C$8*설정!$B$57))</f>
        <v>353730560</v>
      </c>
      <c r="F42" s="67" t="n">
        <f aca="false">($D$8)*MIN(($B$8*$C$8*$H$8)*MAX(1,ROUNDUP(((F$28)*$B$8*설정!$B$57)/설정!$B$61,0))+((F$28)*$B$8*설정!$B$57)+((F$28)*$C$8*설정!$B$57),($B$8*$C$8*$H$8)+((F$28)*$B$8*설정!$B$57)*MAX(1,ROUNDUP(($B$8*$C$8*$H$8)/설정!$B$61,0))+((F$28)*$C$8*설정!$B$57))</f>
        <v>707461120</v>
      </c>
      <c r="G42" s="67" t="n">
        <f aca="false">($D$8)*MIN(($B$8*$C$8*$H$8)*MAX(1,ROUNDUP(((G$28)*$B$8*설정!$B$57)/설정!$B$61,0))+((G$28)*$B$8*설정!$B$57)+((G$28)*$C$8*설정!$B$57),($B$8*$C$8*$H$8)+((G$28)*$B$8*설정!$B$57)*MAX(1,ROUNDUP(($B$8*$C$8*$H$8)/설정!$B$61,0))+((G$28)*$C$8*설정!$B$57))</f>
        <v>1414922240</v>
      </c>
      <c r="H42" s="67" t="n">
        <f aca="false">($D$8)*MIN(($B$8*$C$8*$H$8)*MAX(1,ROUNDUP(((H$28)*$B$8*설정!$B$57)/설정!$B$61,0))+((H$28)*$B$8*설정!$B$57)+((H$28)*$C$8*설정!$B$57),($B$8*$C$8*$H$8)+((H$28)*$B$8*설정!$B$57)*MAX(1,ROUNDUP(($B$8*$C$8*$H$8)/설정!$B$61,0))+((H$28)*$C$8*설정!$B$57))</f>
        <v>2829844480</v>
      </c>
      <c r="I42" s="2"/>
    </row>
    <row r="43" customFormat="false" ht="17.15" hidden="false" customHeight="false" outlineLevel="0" collapsed="false">
      <c r="A43" s="30" t="s">
        <v>292</v>
      </c>
      <c r="B43" s="68" t="n">
        <f aca="false">MAX(B41/$I$8,B42/설정!$B$60)*1000</f>
        <v>1.30429490196078</v>
      </c>
      <c r="C43" s="68" t="n">
        <f aca="false">MAX(C41/$I$8,C42/설정!$B$60)*1000</f>
        <v>2.60858980392157</v>
      </c>
      <c r="D43" s="68" t="n">
        <f aca="false">MAX(D41/$I$8,D42/설정!$B$60)*1000</f>
        <v>4.92131669333333</v>
      </c>
      <c r="E43" s="68" t="n">
        <f aca="false">MAX(E41/$I$8,E42/설정!$B$60)*1000</f>
        <v>9.84263338666667</v>
      </c>
      <c r="F43" s="68" t="n">
        <f aca="false">MAX(F41/$I$8,F42/설정!$B$60)*1000</f>
        <v>19.6852667733333</v>
      </c>
      <c r="G43" s="68" t="n">
        <f aca="false">MAX(G41/$I$8,G42/설정!$B$60)*1000</f>
        <v>39.3705335466667</v>
      </c>
      <c r="H43" s="68" t="n">
        <f aca="false">MAX(H41/$I$8,H42/설정!$B$60)*1000</f>
        <v>78.7410670933333</v>
      </c>
      <c r="I43" s="2"/>
    </row>
    <row r="44" customFormat="false" ht="17.15" hidden="false" customHeight="false" outlineLevel="0" collapsed="false">
      <c r="A44" s="30" t="s">
        <v>293</v>
      </c>
      <c r="B44" s="67" t="n">
        <f aca="false">($D$9)*2*(B$28)*$B$9*$C$9</f>
        <v>73819750400</v>
      </c>
      <c r="C44" s="67" t="n">
        <f aca="false">($D$9)*2*(C$28)*$B$9*$C$9</f>
        <v>147639500800</v>
      </c>
      <c r="D44" s="67" t="n">
        <f aca="false">($D$9)*2*(D$28)*$B$9*$C$9</f>
        <v>295279001600</v>
      </c>
      <c r="E44" s="67" t="n">
        <f aca="false">($D$9)*2*(E$28)*$B$9*$C$9</f>
        <v>590558003200</v>
      </c>
      <c r="F44" s="67" t="n">
        <f aca="false">($D$9)*2*(F$28)*$B$9*$C$9</f>
        <v>1181116006400</v>
      </c>
      <c r="G44" s="67" t="n">
        <f aca="false">($D$9)*2*(G$28)*$B$9*$C$9</f>
        <v>2362232012800</v>
      </c>
      <c r="H44" s="67" t="n">
        <f aca="false">($D$9)*2*(H$28)*$B$9*$C$9</f>
        <v>4724464025600</v>
      </c>
      <c r="I44" s="2"/>
    </row>
    <row r="45" customFormat="false" ht="17.15" hidden="false" customHeight="false" outlineLevel="0" collapsed="false">
      <c r="A45" s="30" t="s">
        <v>294</v>
      </c>
      <c r="B45" s="67" t="n">
        <f aca="false">($D$9)*MIN(($B$9*$C$9*$H$9)*MAX(1,ROUNDUP(((B$28)*$B$9*설정!$B$57)/설정!$B$61,0))+((B$28)*$B$9*설정!$B$57)+((B$28)*$C$9*설정!$B$57),($B$9*$C$9*$H$9)+((B$28)*$B$9*설정!$B$57)*MAX(1,ROUNDUP(($B$9*$C$9*$H$9)/설정!$B$61,0))+((B$28)*$C$9*설정!$B$57))</f>
        <v>170803200</v>
      </c>
      <c r="C45" s="67" t="n">
        <f aca="false">($D$9)*MIN(($B$9*$C$9*$H$9)*MAX(1,ROUNDUP(((C$28)*$B$9*설정!$B$57)/설정!$B$61,0))+((C$28)*$B$9*설정!$B$57)+((C$28)*$C$9*설정!$B$57),($B$9*$C$9*$H$9)+((C$28)*$B$9*설정!$B$57)*MAX(1,ROUNDUP(($B$9*$C$9*$H$9)/설정!$B$61,0))+((C$28)*$C$9*설정!$B$57))</f>
        <v>192921600</v>
      </c>
      <c r="D45" s="67" t="n">
        <f aca="false">($D$9)*MIN(($B$9*$C$9*$H$9)*MAX(1,ROUNDUP(((D$28)*$B$9*설정!$B$57)/설정!$B$61,0))+((D$28)*$B$9*설정!$B$57)+((D$28)*$C$9*설정!$B$57),($B$9*$C$9*$H$9)+((D$28)*$B$9*설정!$B$57)*MAX(1,ROUNDUP(($B$9*$C$9*$H$9)/설정!$B$61,0))+((D$28)*$C$9*설정!$B$57))</f>
        <v>237158400</v>
      </c>
      <c r="E45" s="67" t="n">
        <f aca="false">($D$9)*MIN(($B$9*$C$9*$H$9)*MAX(1,ROUNDUP(((E$28)*$B$9*설정!$B$57)/설정!$B$61,0))+((E$28)*$B$9*설정!$B$57)+((E$28)*$C$9*설정!$B$57),($B$9*$C$9*$H$9)+((E$28)*$B$9*설정!$B$57)*MAX(1,ROUNDUP(($B$9*$C$9*$H$9)/설정!$B$61,0))+((E$28)*$C$9*설정!$B$57))</f>
        <v>474316800</v>
      </c>
      <c r="F45" s="67" t="n">
        <f aca="false">($D$9)*MIN(($B$9*$C$9*$H$9)*MAX(1,ROUNDUP(((F$28)*$B$9*설정!$B$57)/설정!$B$61,0))+((F$28)*$B$9*설정!$B$57)+((F$28)*$C$9*설정!$B$57),($B$9*$C$9*$H$9)+((F$28)*$B$9*설정!$B$57)*MAX(1,ROUNDUP(($B$9*$C$9*$H$9)/설정!$B$61,0))+((F$28)*$C$9*설정!$B$57))</f>
        <v>935116800</v>
      </c>
      <c r="G45" s="67" t="n">
        <f aca="false">($D$9)*MIN(($B$9*$C$9*$H$9)*MAX(1,ROUNDUP(((G$28)*$B$9*설정!$B$57)/설정!$B$61,0))+((G$28)*$B$9*설정!$B$57)+((G$28)*$C$9*설정!$B$57),($B$9*$C$9*$H$9)+((G$28)*$B$9*설정!$B$57)*MAX(1,ROUNDUP(($B$9*$C$9*$H$9)/설정!$B$61,0))+((G$28)*$C$9*설정!$B$57))</f>
        <v>1721548800</v>
      </c>
      <c r="H45" s="67" t="n">
        <f aca="false">($D$9)*MIN(($B$9*$C$9*$H$9)*MAX(1,ROUNDUP(((H$28)*$B$9*설정!$B$57)/설정!$B$61,0))+((H$28)*$B$9*설정!$B$57)+((H$28)*$C$9*설정!$B$57),($B$9*$C$9*$H$9)+((H$28)*$B$9*설정!$B$57)*MAX(1,ROUNDUP(($B$9*$C$9*$H$9)/설정!$B$61,0))+((H$28)*$C$9*설정!$B$57))</f>
        <v>3294412800</v>
      </c>
      <c r="I45" s="2"/>
    </row>
    <row r="46" customFormat="false" ht="17.15" hidden="false" customHeight="false" outlineLevel="0" collapsed="false">
      <c r="A46" s="30" t="s">
        <v>295</v>
      </c>
      <c r="B46" s="68" t="n">
        <f aca="false">MAX(B44/$I$9,B45/설정!$B$60)*1000</f>
        <v>3.34908235294118</v>
      </c>
      <c r="C46" s="68" t="n">
        <f aca="false">MAX(C44/$I$9,C45/설정!$B$60)*1000</f>
        <v>6.15164586666667</v>
      </c>
      <c r="D46" s="68" t="n">
        <f aca="false">MAX(D44/$I$9,D45/설정!$B$60)*1000</f>
        <v>12.3032917333333</v>
      </c>
      <c r="E46" s="68" t="n">
        <f aca="false">MAX(E44/$I$9,E45/설정!$B$60)*1000</f>
        <v>24.6065834666667</v>
      </c>
      <c r="F46" s="68" t="n">
        <f aca="false">MAX(F44/$I$9,F45/설정!$B$60)*1000</f>
        <v>49.2131669333333</v>
      </c>
      <c r="G46" s="68" t="n">
        <f aca="false">MAX(G44/$I$9,G45/설정!$B$60)*1000</f>
        <v>98.4263338666667</v>
      </c>
      <c r="H46" s="68" t="n">
        <f aca="false">MAX(H44/$I$9,H45/설정!$B$60)*1000</f>
        <v>196.852667733333</v>
      </c>
      <c r="I46" s="2"/>
    </row>
    <row r="47" customFormat="false" ht="17.15" hidden="false" customHeight="false" outlineLevel="0" collapsed="false">
      <c r="A47" s="30" t="s">
        <v>296</v>
      </c>
      <c r="B47" s="67" t="n">
        <f aca="false">($D$10)*2*(B$28)*$B$10*$C$10</f>
        <v>36909875200</v>
      </c>
      <c r="C47" s="67" t="n">
        <f aca="false">($D$10)*2*(C$28)*$B$10*$C$10</f>
        <v>73819750400</v>
      </c>
      <c r="D47" s="67" t="n">
        <f aca="false">($D$10)*2*(D$28)*$B$10*$C$10</f>
        <v>147639500800</v>
      </c>
      <c r="E47" s="67" t="n">
        <f aca="false">($D$10)*2*(E$28)*$B$10*$C$10</f>
        <v>295279001600</v>
      </c>
      <c r="F47" s="67" t="n">
        <f aca="false">($D$10)*2*(F$28)*$B$10*$C$10</f>
        <v>590558003200</v>
      </c>
      <c r="G47" s="67" t="n">
        <f aca="false">($D$10)*2*(G$28)*$B$10*$C$10</f>
        <v>1181116006400</v>
      </c>
      <c r="H47" s="67" t="n">
        <f aca="false">($D$10)*2*(H$28)*$B$10*$C$10</f>
        <v>2362232012800</v>
      </c>
      <c r="I47" s="2"/>
    </row>
    <row r="48" customFormat="false" ht="17.15" hidden="false" customHeight="false" outlineLevel="0" collapsed="false">
      <c r="A48" s="30" t="s">
        <v>297</v>
      </c>
      <c r="B48" s="67" t="n">
        <f aca="false">($D$10)*MIN(($B$10*$C$10*$H$10)*MAX(1,ROUNDUP(((B$28)*$B$10*설정!$B$57)/설정!$B$61,0))+((B$28)*$B$10*설정!$B$57)+((B$28)*$C$10*설정!$B$57),($B$10*$C$10*$H$10)+((B$28)*$B$10*설정!$B$57)*MAX(1,ROUNDUP(($B$10*$C$10*$H$10)/설정!$B$61,0))+((B$28)*$C$10*설정!$B$57))</f>
        <v>89907200</v>
      </c>
      <c r="C48" s="67" t="n">
        <f aca="false">($D$10)*MIN(($B$10*$C$10*$H$10)*MAX(1,ROUNDUP(((C$28)*$B$10*설정!$B$57)/설정!$B$61,0))+((C$28)*$B$10*설정!$B$57)+((C$28)*$C$10*설정!$B$57),($B$10*$C$10*$H$10)+((C$28)*$B$10*설정!$B$57)*MAX(1,ROUNDUP(($B$10*$C$10*$H$10)/설정!$B$61,0))+((C$28)*$C$10*설정!$B$57))</f>
        <v>105472000</v>
      </c>
      <c r="D48" s="67" t="n">
        <f aca="false">($D$10)*MIN(($B$10*$C$10*$H$10)*MAX(1,ROUNDUP(((D$28)*$B$10*설정!$B$57)/설정!$B$61,0))+((D$28)*$B$10*설정!$B$57)+((D$28)*$C$10*설정!$B$57),($B$10*$C$10*$H$10)+((D$28)*$B$10*설정!$B$57)*MAX(1,ROUNDUP(($B$10*$C$10*$H$10)/설정!$B$61,0))+((D$28)*$C$10*설정!$B$57))</f>
        <v>136601600</v>
      </c>
      <c r="E48" s="67" t="n">
        <f aca="false">($D$10)*MIN(($B$10*$C$10*$H$10)*MAX(1,ROUNDUP(((E$28)*$B$10*설정!$B$57)/설정!$B$61,0))+((E$28)*$B$10*설정!$B$57)+((E$28)*$C$10*설정!$B$57),($B$10*$C$10*$H$10)+((E$28)*$B$10*설정!$B$57)*MAX(1,ROUNDUP(($B$10*$C$10*$H$10)/설정!$B$61,0))+((E$28)*$C$10*설정!$B$57))</f>
        <v>270950400</v>
      </c>
      <c r="F48" s="67" t="n">
        <f aca="false">($D$10)*MIN(($B$10*$C$10*$H$10)*MAX(1,ROUNDUP(((F$28)*$B$10*설정!$B$57)/설정!$B$61,0))+((F$28)*$B$10*설정!$B$57)+((F$28)*$C$10*설정!$B$57),($B$10*$C$10*$H$10)+((F$28)*$B$10*설정!$B$57)*MAX(1,ROUNDUP(($B$10*$C$10*$H$10)/설정!$B$61,0))+((F$28)*$C$10*설정!$B$57))</f>
        <v>467558400</v>
      </c>
      <c r="G48" s="67" t="n">
        <f aca="false">($D$10)*MIN(($B$10*$C$10*$H$10)*MAX(1,ROUNDUP(((G$28)*$B$10*설정!$B$57)/설정!$B$61,0))+((G$28)*$B$10*설정!$B$57)+((G$28)*$C$10*설정!$B$57),($B$10*$C$10*$H$10)+((G$28)*$B$10*설정!$B$57)*MAX(1,ROUNDUP(($B$10*$C$10*$H$10)/설정!$B$61,0))+((G$28)*$C$10*설정!$B$57))</f>
        <v>860774400</v>
      </c>
      <c r="H48" s="67" t="n">
        <f aca="false">($D$10)*MIN(($B$10*$C$10*$H$10)*MAX(1,ROUNDUP(((H$28)*$B$10*설정!$B$57)/설정!$B$61,0))+((H$28)*$B$10*설정!$B$57)+((H$28)*$C$10*설정!$B$57),($B$10*$C$10*$H$10)+((H$28)*$B$10*설정!$B$57)*MAX(1,ROUNDUP(($B$10*$C$10*$H$10)/설정!$B$61,0))+((H$28)*$C$10*설정!$B$57))</f>
        <v>1647206400</v>
      </c>
      <c r="I48" s="2"/>
    </row>
    <row r="49" customFormat="false" ht="17.15" hidden="false" customHeight="false" outlineLevel="0" collapsed="false">
      <c r="A49" s="30" t="s">
        <v>298</v>
      </c>
      <c r="B49" s="68" t="n">
        <f aca="false">MAX(B47/$I$10,B48/설정!$B$60)*1000</f>
        <v>1.7628862745098</v>
      </c>
      <c r="C49" s="68" t="n">
        <f aca="false">MAX(C47/$I$10,C48/설정!$B$60)*1000</f>
        <v>3.07582293333333</v>
      </c>
      <c r="D49" s="68" t="n">
        <f aca="false">MAX(D47/$I$10,D48/설정!$B$60)*1000</f>
        <v>6.15164586666667</v>
      </c>
      <c r="E49" s="68" t="n">
        <f aca="false">MAX(E47/$I$10,E48/설정!$B$60)*1000</f>
        <v>12.3032917333333</v>
      </c>
      <c r="F49" s="68" t="n">
        <f aca="false">MAX(F47/$I$10,F48/설정!$B$60)*1000</f>
        <v>24.6065834666667</v>
      </c>
      <c r="G49" s="68" t="n">
        <f aca="false">MAX(G47/$I$10,G48/설정!$B$60)*1000</f>
        <v>49.2131669333333</v>
      </c>
      <c r="H49" s="68" t="n">
        <f aca="false">MAX(H47/$I$10,H48/설정!$B$60)*1000</f>
        <v>98.4263338666667</v>
      </c>
      <c r="I49" s="2"/>
    </row>
    <row r="50" customFormat="false" ht="17.15" hidden="false" customHeight="false" outlineLevel="0" collapsed="false">
      <c r="A50" s="30" t="s">
        <v>299</v>
      </c>
      <c r="B50" s="67" t="n">
        <f aca="false">($D$11)*2*(B$28)*$B$11*$C$11</f>
        <v>36909875200</v>
      </c>
      <c r="C50" s="67" t="n">
        <f aca="false">($D$11)*2*(C$28)*$B$11*$C$11</f>
        <v>73819750400</v>
      </c>
      <c r="D50" s="67" t="n">
        <f aca="false">($D$11)*2*(D$28)*$B$11*$C$11</f>
        <v>147639500800</v>
      </c>
      <c r="E50" s="67" t="n">
        <f aca="false">($D$11)*2*(E$28)*$B$11*$C$11</f>
        <v>295279001600</v>
      </c>
      <c r="F50" s="67" t="n">
        <f aca="false">($D$11)*2*(F$28)*$B$11*$C$11</f>
        <v>590558003200</v>
      </c>
      <c r="G50" s="67" t="n">
        <f aca="false">($D$11)*2*(G$28)*$B$11*$C$11</f>
        <v>1181116006400</v>
      </c>
      <c r="H50" s="67" t="n">
        <f aca="false">($D$11)*2*(H$28)*$B$11*$C$11</f>
        <v>2362232012800</v>
      </c>
      <c r="I50" s="2"/>
    </row>
    <row r="51" customFormat="false" ht="17.15" hidden="false" customHeight="false" outlineLevel="0" collapsed="false">
      <c r="A51" s="30" t="s">
        <v>300</v>
      </c>
      <c r="B51" s="67" t="n">
        <f aca="false">($D$11)*MIN(($B$11*$C$11*$H$11)*MAX(1,ROUNDUP(((B$28)*$B$11*설정!$B$57)/설정!$B$61,0))+((B$28)*$B$11*설정!$B$57)+((B$28)*$C$11*설정!$B$57),($B$11*$C$11*$H$11)+((B$28)*$B$11*설정!$B$57)*MAX(1,ROUNDUP(($B$11*$C$11*$H$11)/설정!$B$61,0))+((B$28)*$C$11*설정!$B$57))</f>
        <v>89907200</v>
      </c>
      <c r="C51" s="67" t="n">
        <f aca="false">($D$11)*MIN(($B$11*$C$11*$H$11)*MAX(1,ROUNDUP(((C$28)*$B$11*설정!$B$57)/설정!$B$61,0))+((C$28)*$B$11*설정!$B$57)+((C$28)*$C$11*설정!$B$57),($B$11*$C$11*$H$11)+((C$28)*$B$11*설정!$B$57)*MAX(1,ROUNDUP(($B$11*$C$11*$H$11)/설정!$B$61,0))+((C$28)*$C$11*설정!$B$57))</f>
        <v>105472000</v>
      </c>
      <c r="D51" s="67" t="n">
        <f aca="false">($D$11)*MIN(($B$11*$C$11*$H$11)*MAX(1,ROUNDUP(((D$28)*$B$11*설정!$B$57)/설정!$B$61,0))+((D$28)*$B$11*설정!$B$57)+((D$28)*$C$11*설정!$B$57),($B$11*$C$11*$H$11)+((D$28)*$B$11*설정!$B$57)*MAX(1,ROUNDUP(($B$11*$C$11*$H$11)/설정!$B$61,0))+((D$28)*$C$11*설정!$B$57))</f>
        <v>136601600</v>
      </c>
      <c r="E51" s="67" t="n">
        <f aca="false">($D$11)*MIN(($B$11*$C$11*$H$11)*MAX(1,ROUNDUP(((E$28)*$B$11*설정!$B$57)/설정!$B$61,0))+((E$28)*$B$11*설정!$B$57)+((E$28)*$C$11*설정!$B$57),($B$11*$C$11*$H$11)+((E$28)*$B$11*설정!$B$57)*MAX(1,ROUNDUP(($B$11*$C$11*$H$11)/설정!$B$61,0))+((E$28)*$C$11*설정!$B$57))</f>
        <v>270950400</v>
      </c>
      <c r="F51" s="67" t="n">
        <f aca="false">($D$11)*MIN(($B$11*$C$11*$H$11)*MAX(1,ROUNDUP(((F$28)*$B$11*설정!$B$57)/설정!$B$61,0))+((F$28)*$B$11*설정!$B$57)+((F$28)*$C$11*설정!$B$57),($B$11*$C$11*$H$11)+((F$28)*$B$11*설정!$B$57)*MAX(1,ROUNDUP(($B$11*$C$11*$H$11)/설정!$B$61,0))+((F$28)*$C$11*설정!$B$57))</f>
        <v>467558400</v>
      </c>
      <c r="G51" s="67" t="n">
        <f aca="false">($D$11)*MIN(($B$11*$C$11*$H$11)*MAX(1,ROUNDUP(((G$28)*$B$11*설정!$B$57)/설정!$B$61,0))+((G$28)*$B$11*설정!$B$57)+((G$28)*$C$11*설정!$B$57),($B$11*$C$11*$H$11)+((G$28)*$B$11*설정!$B$57)*MAX(1,ROUNDUP(($B$11*$C$11*$H$11)/설정!$B$61,0))+((G$28)*$C$11*설정!$B$57))</f>
        <v>860774400</v>
      </c>
      <c r="H51" s="67" t="n">
        <f aca="false">($D$11)*MIN(($B$11*$C$11*$H$11)*MAX(1,ROUNDUP(((H$28)*$B$11*설정!$B$57)/설정!$B$61,0))+((H$28)*$B$11*설정!$B$57)+((H$28)*$C$11*설정!$B$57),($B$11*$C$11*$H$11)+((H$28)*$B$11*설정!$B$57)*MAX(1,ROUNDUP(($B$11*$C$11*$H$11)/설정!$B$61,0))+((H$28)*$C$11*설정!$B$57))</f>
        <v>1647206400</v>
      </c>
      <c r="I51" s="2"/>
    </row>
    <row r="52" customFormat="false" ht="17.15" hidden="false" customHeight="false" outlineLevel="0" collapsed="false">
      <c r="A52" s="30" t="s">
        <v>301</v>
      </c>
      <c r="B52" s="68" t="n">
        <f aca="false">MAX(B50/$I$11,B51/설정!$B$60)*1000</f>
        <v>1.7628862745098</v>
      </c>
      <c r="C52" s="68" t="n">
        <f aca="false">MAX(C50/$I$11,C51/설정!$B$60)*1000</f>
        <v>3.07582293333333</v>
      </c>
      <c r="D52" s="68" t="n">
        <f aca="false">MAX(D50/$I$11,D51/설정!$B$60)*1000</f>
        <v>6.15164586666667</v>
      </c>
      <c r="E52" s="68" t="n">
        <f aca="false">MAX(E50/$I$11,E51/설정!$B$60)*1000</f>
        <v>12.3032917333333</v>
      </c>
      <c r="F52" s="68" t="n">
        <f aca="false">MAX(F50/$I$11,F51/설정!$B$60)*1000</f>
        <v>24.6065834666667</v>
      </c>
      <c r="G52" s="68" t="n">
        <f aca="false">MAX(G50/$I$11,G51/설정!$B$60)*1000</f>
        <v>49.2131669333333</v>
      </c>
      <c r="H52" s="68" t="n">
        <f aca="false">MAX(H50/$I$11,H51/설정!$B$60)*1000</f>
        <v>98.4263338666667</v>
      </c>
      <c r="I52" s="2"/>
    </row>
    <row r="53" customFormat="false" ht="17.15" hidden="false" customHeight="false" outlineLevel="0" collapsed="false">
      <c r="A53" s="30" t="s">
        <v>302</v>
      </c>
      <c r="B53" s="67" t="n">
        <f aca="false">($D$12)*2*(B$28)*$B$12*$C$12</f>
        <v>73819750400</v>
      </c>
      <c r="C53" s="67" t="n">
        <f aca="false">($D$12)*2*(C$28)*$B$12*$C$12</f>
        <v>147639500800</v>
      </c>
      <c r="D53" s="67" t="n">
        <f aca="false">($D$12)*2*(D$28)*$B$12*$C$12</f>
        <v>295279001600</v>
      </c>
      <c r="E53" s="67" t="n">
        <f aca="false">($D$12)*2*(E$28)*$B$12*$C$12</f>
        <v>590558003200</v>
      </c>
      <c r="F53" s="67" t="n">
        <f aca="false">($D$12)*2*(F$28)*$B$12*$C$12</f>
        <v>1181116006400</v>
      </c>
      <c r="G53" s="67" t="n">
        <f aca="false">($D$12)*2*(G$28)*$B$12*$C$12</f>
        <v>2362232012800</v>
      </c>
      <c r="H53" s="67" t="n">
        <f aca="false">($D$12)*2*(H$28)*$B$12*$C$12</f>
        <v>4724464025600</v>
      </c>
      <c r="I53" s="2"/>
    </row>
    <row r="54" customFormat="false" ht="17.15" hidden="false" customHeight="false" outlineLevel="0" collapsed="false">
      <c r="A54" s="30" t="s">
        <v>303</v>
      </c>
      <c r="B54" s="67" t="n">
        <f aca="false">($D$12)*MIN(($B$12*$C$12*$H$12)*MAX(1,ROUNDUP(((B$28)*$B$12*설정!$B$57)/설정!$B$61,0))+((B$28)*$B$12*설정!$B$57)+((B$28)*$C$12*설정!$B$57),($B$12*$C$12*$H$12)+((B$28)*$B$12*설정!$B$57)*MAX(1,ROUNDUP(($B$12*$C$12*$H$12)/설정!$B$61,0))+((B$28)*$C$12*설정!$B$57))</f>
        <v>170803200</v>
      </c>
      <c r="C54" s="67" t="n">
        <f aca="false">($D$12)*MIN(($B$12*$C$12*$H$12)*MAX(1,ROUNDUP(((C$28)*$B$12*설정!$B$57)/설정!$B$61,0))+((C$28)*$B$12*설정!$B$57)+((C$28)*$C$12*설정!$B$57),($B$12*$C$12*$H$12)+((C$28)*$B$12*설정!$B$57)*MAX(1,ROUNDUP(($B$12*$C$12*$H$12)/설정!$B$61,0))+((C$28)*$C$12*설정!$B$57))</f>
        <v>192921600</v>
      </c>
      <c r="D54" s="67" t="n">
        <f aca="false">($D$12)*MIN(($B$12*$C$12*$H$12)*MAX(1,ROUNDUP(((D$28)*$B$12*설정!$B$57)/설정!$B$61,0))+((D$28)*$B$12*설정!$B$57)+((D$28)*$C$12*설정!$B$57),($B$12*$C$12*$H$12)+((D$28)*$B$12*설정!$B$57)*MAX(1,ROUNDUP(($B$12*$C$12*$H$12)/설정!$B$61,0))+((D$28)*$C$12*설정!$B$57))</f>
        <v>385843200</v>
      </c>
      <c r="E54" s="67" t="n">
        <f aca="false">($D$12)*MIN(($B$12*$C$12*$H$12)*MAX(1,ROUNDUP(((E$28)*$B$12*설정!$B$57)/설정!$B$61,0))+((E$28)*$B$12*설정!$B$57)+((E$28)*$C$12*설정!$B$57),($B$12*$C$12*$H$12)+((E$28)*$B$12*설정!$B$57)*MAX(1,ROUNDUP(($B$12*$C$12*$H$12)/설정!$B$61,0))+((E$28)*$C$12*설정!$B$57))</f>
        <v>623001600</v>
      </c>
      <c r="F54" s="67" t="n">
        <f aca="false">($D$12)*MIN(($B$12*$C$12*$H$12)*MAX(1,ROUNDUP(((F$28)*$B$12*설정!$B$57)/설정!$B$61,0))+((F$28)*$B$12*설정!$B$57)+((F$28)*$C$12*설정!$B$57),($B$12*$C$12*$H$12)+((F$28)*$B$12*설정!$B$57)*MAX(1,ROUNDUP(($B$12*$C$12*$H$12)/설정!$B$61,0))+((F$28)*$C$12*설정!$B$57))</f>
        <v>1097318400</v>
      </c>
      <c r="G54" s="67" t="n">
        <f aca="false">($D$12)*MIN(($B$12*$C$12*$H$12)*MAX(1,ROUNDUP(((G$28)*$B$12*설정!$B$57)/설정!$B$61,0))+((G$28)*$B$12*설정!$B$57)+((G$28)*$C$12*설정!$B$57),($B$12*$C$12*$H$12)+((G$28)*$B$12*설정!$B$57)*MAX(1,ROUNDUP(($B$12*$C$12*$H$12)/설정!$B$61,0))+((G$28)*$C$12*설정!$B$57))</f>
        <v>2114764800</v>
      </c>
      <c r="H54" s="67" t="n">
        <f aca="false">($D$12)*MIN(($B$12*$C$12*$H$12)*MAX(1,ROUNDUP(((H$28)*$B$12*설정!$B$57)/설정!$B$61,0))+((H$28)*$B$12*설정!$B$57)+((H$28)*$C$12*설정!$B$57),($B$12*$C$12*$H$12)+((H$28)*$B$12*설정!$B$57)*MAX(1,ROUNDUP(($B$12*$C$12*$H$12)/설정!$B$61,0))+((H$28)*$C$12*설정!$B$57))</f>
        <v>4080844800</v>
      </c>
      <c r="I54" s="2"/>
    </row>
    <row r="55" customFormat="false" ht="17.15" hidden="false" customHeight="false" outlineLevel="0" collapsed="false">
      <c r="A55" s="30" t="s">
        <v>304</v>
      </c>
      <c r="B55" s="68" t="n">
        <f aca="false">MAX(B53/$I$12,B54/설정!$B$60)*1000</f>
        <v>3.34908235294118</v>
      </c>
      <c r="C55" s="68" t="n">
        <f aca="false">MAX(C53/$I$12,C54/설정!$B$60)*1000</f>
        <v>6.15164586666667</v>
      </c>
      <c r="D55" s="68" t="n">
        <f aca="false">MAX(D53/$I$12,D54/설정!$B$60)*1000</f>
        <v>12.3032917333333</v>
      </c>
      <c r="E55" s="68" t="n">
        <f aca="false">MAX(E53/$I$12,E54/설정!$B$60)*1000</f>
        <v>24.6065834666667</v>
      </c>
      <c r="F55" s="68" t="n">
        <f aca="false">MAX(F53/$I$12,F54/설정!$B$60)*1000</f>
        <v>49.2131669333333</v>
      </c>
      <c r="G55" s="68" t="n">
        <f aca="false">MAX(G53/$I$12,G54/설정!$B$60)*1000</f>
        <v>98.4263338666667</v>
      </c>
      <c r="H55" s="68" t="n">
        <f aca="false">MAX(H53/$I$12,H54/설정!$B$60)*1000</f>
        <v>196.852667733333</v>
      </c>
      <c r="I55" s="2"/>
    </row>
    <row r="56" customFormat="false" ht="17.15" hidden="false" customHeight="false" outlineLevel="0" collapsed="false">
      <c r="A56" s="30" t="s">
        <v>305</v>
      </c>
      <c r="B56" s="67" t="n">
        <f aca="false">($D$13)*2*(B$28)*$B$13*$C$13</f>
        <v>0</v>
      </c>
      <c r="C56" s="67" t="n">
        <f aca="false">($D$13)*2*(C$28)*$B$13*$C$13</f>
        <v>0</v>
      </c>
      <c r="D56" s="67" t="n">
        <f aca="false">($D$13)*2*(D$28)*$B$13*$C$13</f>
        <v>0</v>
      </c>
      <c r="E56" s="67" t="n">
        <f aca="false">($D$13)*2*(E$28)*$B$13*$C$13</f>
        <v>0</v>
      </c>
      <c r="F56" s="67" t="n">
        <f aca="false">($D$13)*2*(F$28)*$B$13*$C$13</f>
        <v>0</v>
      </c>
      <c r="G56" s="67" t="n">
        <f aca="false">($D$13)*2*(G$28)*$B$13*$C$13</f>
        <v>0</v>
      </c>
      <c r="H56" s="67" t="n">
        <f aca="false">($D$13)*2*(H$28)*$B$13*$C$13</f>
        <v>0</v>
      </c>
      <c r="I56" s="2"/>
    </row>
    <row r="57" customFormat="false" ht="17.15" hidden="false" customHeight="false" outlineLevel="0" collapsed="false">
      <c r="A57" s="30" t="s">
        <v>306</v>
      </c>
      <c r="B57" s="67" t="n">
        <f aca="false">($D$13)*MIN(($B$13*$C$13*$H$13)*MAX(1,ROUNDUP(((B$28)*$B$13*설정!$B$57)/설정!$B$61,0))+((B$28)*$B$13*설정!$B$57)+((B$28)*$C$13*설정!$B$57),($B$13*$C$13*$H$13)+((B$28)*$B$13*설정!$B$57)*MAX(1,ROUNDUP(($B$13*$C$13*$H$13)/설정!$B$61,0))+((B$28)*$C$13*설정!$B$57))</f>
        <v>0</v>
      </c>
      <c r="C57" s="67" t="n">
        <f aca="false">($D$13)*MIN(($B$13*$C$13*$H$13)*MAX(1,ROUNDUP(((C$28)*$B$13*설정!$B$57)/설정!$B$61,0))+((C$28)*$B$13*설정!$B$57)+((C$28)*$C$13*설정!$B$57),($B$13*$C$13*$H$13)+((C$28)*$B$13*설정!$B$57)*MAX(1,ROUNDUP(($B$13*$C$13*$H$13)/설정!$B$61,0))+((C$28)*$C$13*설정!$B$57))</f>
        <v>0</v>
      </c>
      <c r="D57" s="67" t="n">
        <f aca="false">($D$13)*MIN(($B$13*$C$13*$H$13)*MAX(1,ROUNDUP(((D$28)*$B$13*설정!$B$57)/설정!$B$61,0))+((D$28)*$B$13*설정!$B$57)+((D$28)*$C$13*설정!$B$57),($B$13*$C$13*$H$13)+((D$28)*$B$13*설정!$B$57)*MAX(1,ROUNDUP(($B$13*$C$13*$H$13)/설정!$B$61,0))+((D$28)*$C$13*설정!$B$57))</f>
        <v>0</v>
      </c>
      <c r="E57" s="67" t="n">
        <f aca="false">($D$13)*MIN(($B$13*$C$13*$H$13)*MAX(1,ROUNDUP(((E$28)*$B$13*설정!$B$57)/설정!$B$61,0))+((E$28)*$B$13*설정!$B$57)+((E$28)*$C$13*설정!$B$57),($B$13*$C$13*$H$13)+((E$28)*$B$13*설정!$B$57)*MAX(1,ROUNDUP(($B$13*$C$13*$H$13)/설정!$B$61,0))+((E$28)*$C$13*설정!$B$57))</f>
        <v>0</v>
      </c>
      <c r="F57" s="67" t="n">
        <f aca="false">($D$13)*MIN(($B$13*$C$13*$H$13)*MAX(1,ROUNDUP(((F$28)*$B$13*설정!$B$57)/설정!$B$61,0))+((F$28)*$B$13*설정!$B$57)+((F$28)*$C$13*설정!$B$57),($B$13*$C$13*$H$13)+((F$28)*$B$13*설정!$B$57)*MAX(1,ROUNDUP(($B$13*$C$13*$H$13)/설정!$B$61,0))+((F$28)*$C$13*설정!$B$57))</f>
        <v>0</v>
      </c>
      <c r="G57" s="67" t="n">
        <f aca="false">($D$13)*MIN(($B$13*$C$13*$H$13)*MAX(1,ROUNDUP(((G$28)*$B$13*설정!$B$57)/설정!$B$61,0))+((G$28)*$B$13*설정!$B$57)+((G$28)*$C$13*설정!$B$57),($B$13*$C$13*$H$13)+((G$28)*$B$13*설정!$B$57)*MAX(1,ROUNDUP(($B$13*$C$13*$H$13)/설정!$B$61,0))+((G$28)*$C$13*설정!$B$57))</f>
        <v>0</v>
      </c>
      <c r="H57" s="67" t="n">
        <f aca="false">($D$13)*MIN(($B$13*$C$13*$H$13)*MAX(1,ROUNDUP(((H$28)*$B$13*설정!$B$57)/설정!$B$61,0))+((H$28)*$B$13*설정!$B$57)+((H$28)*$C$13*설정!$B$57),($B$13*$C$13*$H$13)+((H$28)*$B$13*설정!$B$57)*MAX(1,ROUNDUP(($B$13*$C$13*$H$13)/설정!$B$61,0))+((H$28)*$C$13*설정!$B$57))</f>
        <v>0</v>
      </c>
      <c r="I57" s="2"/>
    </row>
    <row r="58" customFormat="false" ht="17.15" hidden="false" customHeight="false" outlineLevel="0" collapsed="false">
      <c r="A58" s="30" t="s">
        <v>307</v>
      </c>
      <c r="B58" s="68" t="n">
        <f aca="false">MAX(B56/$I$13,B57/설정!$B$60)*1000</f>
        <v>0</v>
      </c>
      <c r="C58" s="68" t="n">
        <f aca="false">MAX(C56/$I$13,C57/설정!$B$60)*1000</f>
        <v>0</v>
      </c>
      <c r="D58" s="68" t="n">
        <f aca="false">MAX(D56/$I$13,D57/설정!$B$60)*1000</f>
        <v>0</v>
      </c>
      <c r="E58" s="68" t="n">
        <f aca="false">MAX(E56/$I$13,E57/설정!$B$60)*1000</f>
        <v>0</v>
      </c>
      <c r="F58" s="68" t="n">
        <f aca="false">MAX(F56/$I$13,F57/설정!$B$60)*1000</f>
        <v>0</v>
      </c>
      <c r="G58" s="68" t="n">
        <f aca="false">MAX(G56/$I$13,G57/설정!$B$60)*1000</f>
        <v>0</v>
      </c>
      <c r="H58" s="68" t="n">
        <f aca="false">MAX(H56/$I$13,H57/설정!$B$60)*1000</f>
        <v>0</v>
      </c>
      <c r="I58" s="2"/>
    </row>
    <row r="59" customFormat="false" ht="17.15" hidden="false" customHeight="false" outlineLevel="0" collapsed="false">
      <c r="A59" s="30" t="s">
        <v>308</v>
      </c>
      <c r="B59" s="67" t="n">
        <f aca="false">($D$14)*2*(B$28)*$B$14*$C$14</f>
        <v>0</v>
      </c>
      <c r="C59" s="67" t="n">
        <f aca="false">($D$14)*2*(C$28)*$B$14*$C$14</f>
        <v>0</v>
      </c>
      <c r="D59" s="67" t="n">
        <f aca="false">($D$14)*2*(D$28)*$B$14*$C$14</f>
        <v>0</v>
      </c>
      <c r="E59" s="67" t="n">
        <f aca="false">($D$14)*2*(E$28)*$B$14*$C$14</f>
        <v>0</v>
      </c>
      <c r="F59" s="67" t="n">
        <f aca="false">($D$14)*2*(F$28)*$B$14*$C$14</f>
        <v>0</v>
      </c>
      <c r="G59" s="67" t="n">
        <f aca="false">($D$14)*2*(G$28)*$B$14*$C$14</f>
        <v>0</v>
      </c>
      <c r="H59" s="67" t="n">
        <f aca="false">($D$14)*2*(H$28)*$B$14*$C$14</f>
        <v>0</v>
      </c>
      <c r="I59" s="2"/>
    </row>
    <row r="60" customFormat="false" ht="17.15" hidden="false" customHeight="false" outlineLevel="0" collapsed="false">
      <c r="A60" s="30" t="s">
        <v>309</v>
      </c>
      <c r="B60" s="67" t="n">
        <f aca="false">($D$14)*MIN(($B$14*$C$14*$H$14)*MAX(1,ROUNDUP(((B$28)*$B$14*설정!$B$57)/설정!$B$61,0))+((B$28)*$B$14*설정!$B$57)+((B$28)*$C$14*설정!$B$57),($B$14*$C$14*$H$14)+((B$28)*$B$14*설정!$B$57)*MAX(1,ROUNDUP(($B$14*$C$14*$H$14)/설정!$B$61,0))+((B$28)*$C$14*설정!$B$57))</f>
        <v>0</v>
      </c>
      <c r="C60" s="67" t="n">
        <f aca="false">($D$14)*MIN(($B$14*$C$14*$H$14)*MAX(1,ROUNDUP(((C$28)*$B$14*설정!$B$57)/설정!$B$61,0))+((C$28)*$B$14*설정!$B$57)+((C$28)*$C$14*설정!$B$57),($B$14*$C$14*$H$14)+((C$28)*$B$14*설정!$B$57)*MAX(1,ROUNDUP(($B$14*$C$14*$H$14)/설정!$B$61,0))+((C$28)*$C$14*설정!$B$57))</f>
        <v>0</v>
      </c>
      <c r="D60" s="67" t="n">
        <f aca="false">($D$14)*MIN(($B$14*$C$14*$H$14)*MAX(1,ROUNDUP(((D$28)*$B$14*설정!$B$57)/설정!$B$61,0))+((D$28)*$B$14*설정!$B$57)+((D$28)*$C$14*설정!$B$57),($B$14*$C$14*$H$14)+((D$28)*$B$14*설정!$B$57)*MAX(1,ROUNDUP(($B$14*$C$14*$H$14)/설정!$B$61,0))+((D$28)*$C$14*설정!$B$57))</f>
        <v>0</v>
      </c>
      <c r="E60" s="67" t="n">
        <f aca="false">($D$14)*MIN(($B$14*$C$14*$H$14)*MAX(1,ROUNDUP(((E$28)*$B$14*설정!$B$57)/설정!$B$61,0))+((E$28)*$B$14*설정!$B$57)+((E$28)*$C$14*설정!$B$57),($B$14*$C$14*$H$14)+((E$28)*$B$14*설정!$B$57)*MAX(1,ROUNDUP(($B$14*$C$14*$H$14)/설정!$B$61,0))+((E$28)*$C$14*설정!$B$57))</f>
        <v>0</v>
      </c>
      <c r="F60" s="67" t="n">
        <f aca="false">($D$14)*MIN(($B$14*$C$14*$H$14)*MAX(1,ROUNDUP(((F$28)*$B$14*설정!$B$57)/설정!$B$61,0))+((F$28)*$B$14*설정!$B$57)+((F$28)*$C$14*설정!$B$57),($B$14*$C$14*$H$14)+((F$28)*$B$14*설정!$B$57)*MAX(1,ROUNDUP(($B$14*$C$14*$H$14)/설정!$B$61,0))+((F$28)*$C$14*설정!$B$57))</f>
        <v>0</v>
      </c>
      <c r="G60" s="67" t="n">
        <f aca="false">($D$14)*MIN(($B$14*$C$14*$H$14)*MAX(1,ROUNDUP(((G$28)*$B$14*설정!$B$57)/설정!$B$61,0))+((G$28)*$B$14*설정!$B$57)+((G$28)*$C$14*설정!$B$57),($B$14*$C$14*$H$14)+((G$28)*$B$14*설정!$B$57)*MAX(1,ROUNDUP(($B$14*$C$14*$H$14)/설정!$B$61,0))+((G$28)*$C$14*설정!$B$57))</f>
        <v>0</v>
      </c>
      <c r="H60" s="67" t="n">
        <f aca="false">($D$14)*MIN(($B$14*$C$14*$H$14)*MAX(1,ROUNDUP(((H$28)*$B$14*설정!$B$57)/설정!$B$61,0))+((H$28)*$B$14*설정!$B$57)+((H$28)*$C$14*설정!$B$57),($B$14*$C$14*$H$14)+((H$28)*$B$14*설정!$B$57)*MAX(1,ROUNDUP(($B$14*$C$14*$H$14)/설정!$B$61,0))+((H$28)*$C$14*설정!$B$57))</f>
        <v>0</v>
      </c>
      <c r="I60" s="2"/>
    </row>
    <row r="61" customFormat="false" ht="17.15" hidden="false" customHeight="false" outlineLevel="0" collapsed="false">
      <c r="A61" s="30" t="s">
        <v>310</v>
      </c>
      <c r="B61" s="68" t="n">
        <f aca="false">MAX(B59/$I$14,B60/설정!$B$60)*1000</f>
        <v>0</v>
      </c>
      <c r="C61" s="68" t="n">
        <f aca="false">MAX(C59/$I$14,C60/설정!$B$60)*1000</f>
        <v>0</v>
      </c>
      <c r="D61" s="68" t="n">
        <f aca="false">MAX(D59/$I$14,D60/설정!$B$60)*1000</f>
        <v>0</v>
      </c>
      <c r="E61" s="68" t="n">
        <f aca="false">MAX(E59/$I$14,E60/설정!$B$60)*1000</f>
        <v>0</v>
      </c>
      <c r="F61" s="68" t="n">
        <f aca="false">MAX(F59/$I$14,F60/설정!$B$60)*1000</f>
        <v>0</v>
      </c>
      <c r="G61" s="68" t="n">
        <f aca="false">MAX(G59/$I$14,G60/설정!$B$60)*1000</f>
        <v>0</v>
      </c>
      <c r="H61" s="68" t="n">
        <f aca="false">MAX(H59/$I$14,H60/설정!$B$60)*1000</f>
        <v>0</v>
      </c>
      <c r="I61" s="2"/>
    </row>
    <row r="62" customFormat="false" ht="17.15" hidden="false" customHeight="false" outlineLevel="0" collapsed="false">
      <c r="A62" s="30" t="s">
        <v>311</v>
      </c>
      <c r="B62" s="67" t="n">
        <f aca="false">($D$15)*2*(B$28)*$B$15*$C$15</f>
        <v>0</v>
      </c>
      <c r="C62" s="67" t="n">
        <f aca="false">($D$15)*2*(C$28)*$B$15*$C$15</f>
        <v>0</v>
      </c>
      <c r="D62" s="67" t="n">
        <f aca="false">($D$15)*2*(D$28)*$B$15*$C$15</f>
        <v>0</v>
      </c>
      <c r="E62" s="67" t="n">
        <f aca="false">($D$15)*2*(E$28)*$B$15*$C$15</f>
        <v>0</v>
      </c>
      <c r="F62" s="67" t="n">
        <f aca="false">($D$15)*2*(F$28)*$B$15*$C$15</f>
        <v>0</v>
      </c>
      <c r="G62" s="67" t="n">
        <f aca="false">($D$15)*2*(G$28)*$B$15*$C$15</f>
        <v>0</v>
      </c>
      <c r="H62" s="67" t="n">
        <f aca="false">($D$15)*2*(H$28)*$B$15*$C$15</f>
        <v>0</v>
      </c>
      <c r="I62" s="2"/>
    </row>
    <row r="63" customFormat="false" ht="17.15" hidden="false" customHeight="false" outlineLevel="0" collapsed="false">
      <c r="A63" s="30" t="s">
        <v>312</v>
      </c>
      <c r="B63" s="67" t="n">
        <f aca="false">($D$15)*MIN(($B$15*$C$15*$H$15)*MAX(1,ROUNDUP(((B$28)*$B$15*설정!$B$57)/설정!$B$61,0))+((B$28)*$B$15*설정!$B$57)+((B$28)*$C$15*설정!$B$57),($B$15*$C$15*$H$15)+((B$28)*$B$15*설정!$B$57)*MAX(1,ROUNDUP(($B$15*$C$15*$H$15)/설정!$B$61,0))+((B$28)*$C$15*설정!$B$57))</f>
        <v>0</v>
      </c>
      <c r="C63" s="67" t="n">
        <f aca="false">($D$15)*MIN(($B$15*$C$15*$H$15)*MAX(1,ROUNDUP(((C$28)*$B$15*설정!$B$57)/설정!$B$61,0))+((C$28)*$B$15*설정!$B$57)+((C$28)*$C$15*설정!$B$57),($B$15*$C$15*$H$15)+((C$28)*$B$15*설정!$B$57)*MAX(1,ROUNDUP(($B$15*$C$15*$H$15)/설정!$B$61,0))+((C$28)*$C$15*설정!$B$57))</f>
        <v>0</v>
      </c>
      <c r="D63" s="67" t="n">
        <f aca="false">($D$15)*MIN(($B$15*$C$15*$H$15)*MAX(1,ROUNDUP(((D$28)*$B$15*설정!$B$57)/설정!$B$61,0))+((D$28)*$B$15*설정!$B$57)+((D$28)*$C$15*설정!$B$57),($B$15*$C$15*$H$15)+((D$28)*$B$15*설정!$B$57)*MAX(1,ROUNDUP(($B$15*$C$15*$H$15)/설정!$B$61,0))+((D$28)*$C$15*설정!$B$57))</f>
        <v>0</v>
      </c>
      <c r="E63" s="67" t="n">
        <f aca="false">($D$15)*MIN(($B$15*$C$15*$H$15)*MAX(1,ROUNDUP(((E$28)*$B$15*설정!$B$57)/설정!$B$61,0))+((E$28)*$B$15*설정!$B$57)+((E$28)*$C$15*설정!$B$57),($B$15*$C$15*$H$15)+((E$28)*$B$15*설정!$B$57)*MAX(1,ROUNDUP(($B$15*$C$15*$H$15)/설정!$B$61,0))+((E$28)*$C$15*설정!$B$57))</f>
        <v>0</v>
      </c>
      <c r="F63" s="67" t="n">
        <f aca="false">($D$15)*MIN(($B$15*$C$15*$H$15)*MAX(1,ROUNDUP(((F$28)*$B$15*설정!$B$57)/설정!$B$61,0))+((F$28)*$B$15*설정!$B$57)+((F$28)*$C$15*설정!$B$57),($B$15*$C$15*$H$15)+((F$28)*$B$15*설정!$B$57)*MAX(1,ROUNDUP(($B$15*$C$15*$H$15)/설정!$B$61,0))+((F$28)*$C$15*설정!$B$57))</f>
        <v>0</v>
      </c>
      <c r="G63" s="67" t="n">
        <f aca="false">($D$15)*MIN(($B$15*$C$15*$H$15)*MAX(1,ROUNDUP(((G$28)*$B$15*설정!$B$57)/설정!$B$61,0))+((G$28)*$B$15*설정!$B$57)+((G$28)*$C$15*설정!$B$57),($B$15*$C$15*$H$15)+((G$28)*$B$15*설정!$B$57)*MAX(1,ROUNDUP(($B$15*$C$15*$H$15)/설정!$B$61,0))+((G$28)*$C$15*설정!$B$57))</f>
        <v>0</v>
      </c>
      <c r="H63" s="67" t="n">
        <f aca="false">($D$15)*MIN(($B$15*$C$15*$H$15)*MAX(1,ROUNDUP(((H$28)*$B$15*설정!$B$57)/설정!$B$61,0))+((H$28)*$B$15*설정!$B$57)+((H$28)*$C$15*설정!$B$57),($B$15*$C$15*$H$15)+((H$28)*$B$15*설정!$B$57)*MAX(1,ROUNDUP(($B$15*$C$15*$H$15)/설정!$B$61,0))+((H$28)*$C$15*설정!$B$57))</f>
        <v>0</v>
      </c>
      <c r="I63" s="2"/>
    </row>
    <row r="64" customFormat="false" ht="17.15" hidden="false" customHeight="false" outlineLevel="0" collapsed="false">
      <c r="A64" s="30" t="s">
        <v>313</v>
      </c>
      <c r="B64" s="68" t="n">
        <f aca="false">MAX(B62/$I$15,B63/설정!$B$60)*1000</f>
        <v>0</v>
      </c>
      <c r="C64" s="68" t="n">
        <f aca="false">MAX(C62/$I$15,C63/설정!$B$60)*1000</f>
        <v>0</v>
      </c>
      <c r="D64" s="68" t="n">
        <f aca="false">MAX(D62/$I$15,D63/설정!$B$60)*1000</f>
        <v>0</v>
      </c>
      <c r="E64" s="68" t="n">
        <f aca="false">MAX(E62/$I$15,E63/설정!$B$60)*1000</f>
        <v>0</v>
      </c>
      <c r="F64" s="68" t="n">
        <f aca="false">MAX(F62/$I$15,F63/설정!$B$60)*1000</f>
        <v>0</v>
      </c>
      <c r="G64" s="68" t="n">
        <f aca="false">MAX(G62/$I$15,G63/설정!$B$60)*1000</f>
        <v>0</v>
      </c>
      <c r="H64" s="68" t="n">
        <f aca="false">MAX(H62/$I$15,H63/설정!$B$60)*1000</f>
        <v>0</v>
      </c>
      <c r="I64" s="2"/>
    </row>
    <row r="65" customFormat="false" ht="17.15" hidden="false" customHeight="false" outlineLevel="0" collapsed="false">
      <c r="A65" s="30" t="s">
        <v>314</v>
      </c>
      <c r="B65" s="67" t="n">
        <f aca="false">($D$16)*2*(B$28)*$B$16*$C$16</f>
        <v>0</v>
      </c>
      <c r="C65" s="67" t="n">
        <f aca="false">($D$16)*2*(C$28)*$B$16*$C$16</f>
        <v>0</v>
      </c>
      <c r="D65" s="67" t="n">
        <f aca="false">($D$16)*2*(D$28)*$B$16*$C$16</f>
        <v>0</v>
      </c>
      <c r="E65" s="67" t="n">
        <f aca="false">($D$16)*2*(E$28)*$B$16*$C$16</f>
        <v>0</v>
      </c>
      <c r="F65" s="67" t="n">
        <f aca="false">($D$16)*2*(F$28)*$B$16*$C$16</f>
        <v>0</v>
      </c>
      <c r="G65" s="67" t="n">
        <f aca="false">($D$16)*2*(G$28)*$B$16*$C$16</f>
        <v>0</v>
      </c>
      <c r="H65" s="67" t="n">
        <f aca="false">($D$16)*2*(H$28)*$B$16*$C$16</f>
        <v>0</v>
      </c>
      <c r="I65" s="2"/>
    </row>
    <row r="66" customFormat="false" ht="17.15" hidden="false" customHeight="false" outlineLevel="0" collapsed="false">
      <c r="A66" s="30" t="s">
        <v>315</v>
      </c>
      <c r="B66" s="67" t="n">
        <f aca="false">($D$16)*MIN(($B$16*$C$16*$H$16)*MAX(1,ROUNDUP(((B$28)*$B$16*설정!$B$57)/설정!$B$61,0))+((B$28)*$B$16*설정!$B$57)+((B$28)*$C$16*설정!$B$57),($B$16*$C$16*$H$16)+((B$28)*$B$16*설정!$B$57)*MAX(1,ROUNDUP(($B$16*$C$16*$H$16)/설정!$B$61,0))+((B$28)*$C$16*설정!$B$57))</f>
        <v>0</v>
      </c>
      <c r="C66" s="67" t="n">
        <f aca="false">($D$16)*MIN(($B$16*$C$16*$H$16)*MAX(1,ROUNDUP(((C$28)*$B$16*설정!$B$57)/설정!$B$61,0))+((C$28)*$B$16*설정!$B$57)+((C$28)*$C$16*설정!$B$57),($B$16*$C$16*$H$16)+((C$28)*$B$16*설정!$B$57)*MAX(1,ROUNDUP(($B$16*$C$16*$H$16)/설정!$B$61,0))+((C$28)*$C$16*설정!$B$57))</f>
        <v>0</v>
      </c>
      <c r="D66" s="67" t="n">
        <f aca="false">($D$16)*MIN(($B$16*$C$16*$H$16)*MAX(1,ROUNDUP(((D$28)*$B$16*설정!$B$57)/설정!$B$61,0))+((D$28)*$B$16*설정!$B$57)+((D$28)*$C$16*설정!$B$57),($B$16*$C$16*$H$16)+((D$28)*$B$16*설정!$B$57)*MAX(1,ROUNDUP(($B$16*$C$16*$H$16)/설정!$B$61,0))+((D$28)*$C$16*설정!$B$57))</f>
        <v>0</v>
      </c>
      <c r="E66" s="67" t="n">
        <f aca="false">($D$16)*MIN(($B$16*$C$16*$H$16)*MAX(1,ROUNDUP(((E$28)*$B$16*설정!$B$57)/설정!$B$61,0))+((E$28)*$B$16*설정!$B$57)+((E$28)*$C$16*설정!$B$57),($B$16*$C$16*$H$16)+((E$28)*$B$16*설정!$B$57)*MAX(1,ROUNDUP(($B$16*$C$16*$H$16)/설정!$B$61,0))+((E$28)*$C$16*설정!$B$57))</f>
        <v>0</v>
      </c>
      <c r="F66" s="67" t="n">
        <f aca="false">($D$16)*MIN(($B$16*$C$16*$H$16)*MAX(1,ROUNDUP(((F$28)*$B$16*설정!$B$57)/설정!$B$61,0))+((F$28)*$B$16*설정!$B$57)+((F$28)*$C$16*설정!$B$57),($B$16*$C$16*$H$16)+((F$28)*$B$16*설정!$B$57)*MAX(1,ROUNDUP(($B$16*$C$16*$H$16)/설정!$B$61,0))+((F$28)*$C$16*설정!$B$57))</f>
        <v>0</v>
      </c>
      <c r="G66" s="67" t="n">
        <f aca="false">($D$16)*MIN(($B$16*$C$16*$H$16)*MAX(1,ROUNDUP(((G$28)*$B$16*설정!$B$57)/설정!$B$61,0))+((G$28)*$B$16*설정!$B$57)+((G$28)*$C$16*설정!$B$57),($B$16*$C$16*$H$16)+((G$28)*$B$16*설정!$B$57)*MAX(1,ROUNDUP(($B$16*$C$16*$H$16)/설정!$B$61,0))+((G$28)*$C$16*설정!$B$57))</f>
        <v>0</v>
      </c>
      <c r="H66" s="67" t="n">
        <f aca="false">($D$16)*MIN(($B$16*$C$16*$H$16)*MAX(1,ROUNDUP(((H$28)*$B$16*설정!$B$57)/설정!$B$61,0))+((H$28)*$B$16*설정!$B$57)+((H$28)*$C$16*설정!$B$57),($B$16*$C$16*$H$16)+((H$28)*$B$16*설정!$B$57)*MAX(1,ROUNDUP(($B$16*$C$16*$H$16)/설정!$B$61,0))+((H$28)*$C$16*설정!$B$57))</f>
        <v>0</v>
      </c>
      <c r="I66" s="2"/>
    </row>
    <row r="67" customFormat="false" ht="17.15" hidden="false" customHeight="false" outlineLevel="0" collapsed="false">
      <c r="A67" s="30" t="s">
        <v>316</v>
      </c>
      <c r="B67" s="68" t="n">
        <f aca="false">MAX(B65/$I$16,B66/설정!$B$60)*1000</f>
        <v>0</v>
      </c>
      <c r="C67" s="68" t="n">
        <f aca="false">MAX(C65/$I$16,C66/설정!$B$60)*1000</f>
        <v>0</v>
      </c>
      <c r="D67" s="68" t="n">
        <f aca="false">MAX(D65/$I$16,D66/설정!$B$60)*1000</f>
        <v>0</v>
      </c>
      <c r="E67" s="68" t="n">
        <f aca="false">MAX(E65/$I$16,E66/설정!$B$60)*1000</f>
        <v>0</v>
      </c>
      <c r="F67" s="68" t="n">
        <f aca="false">MAX(F65/$I$16,F66/설정!$B$60)*1000</f>
        <v>0</v>
      </c>
      <c r="G67" s="68" t="n">
        <f aca="false">MAX(G65/$I$16,G66/설정!$B$60)*1000</f>
        <v>0</v>
      </c>
      <c r="H67" s="68" t="n">
        <f aca="false">MAX(H65/$I$16,H66/설정!$B$60)*1000</f>
        <v>0</v>
      </c>
      <c r="I67" s="2"/>
    </row>
    <row r="68" customFormat="false" ht="17.15" hidden="false" customHeight="false" outlineLevel="0" collapsed="false">
      <c r="A68" s="30" t="s">
        <v>317</v>
      </c>
      <c r="B68" s="67" t="n">
        <f aca="false">($D$17)*2*(B$28)*$B$17*$C$17</f>
        <v>2768240640</v>
      </c>
      <c r="C68" s="67" t="n">
        <f aca="false">($D$17)*2*(C$28)*$B$17*$C$17</f>
        <v>5536481280</v>
      </c>
      <c r="D68" s="67" t="n">
        <f aca="false">($D$17)*2*(D$28)*$B$17*$C$17</f>
        <v>11072962560</v>
      </c>
      <c r="E68" s="67" t="n">
        <f aca="false">($D$17)*2*(E$28)*$B$17*$C$17</f>
        <v>22145925120</v>
      </c>
      <c r="F68" s="67" t="n">
        <f aca="false">($D$17)*2*(F$28)*$B$17*$C$17</f>
        <v>44291850240</v>
      </c>
      <c r="G68" s="67" t="n">
        <f aca="false">($D$17)*2*(G$28)*$B$17*$C$17</f>
        <v>88583700480</v>
      </c>
      <c r="H68" s="67" t="n">
        <f aca="false">($D$17)*2*(H$28)*$B$17*$C$17</f>
        <v>177167400960</v>
      </c>
      <c r="I68" s="2"/>
    </row>
    <row r="69" customFormat="false" ht="17.15" hidden="false" customHeight="false" outlineLevel="0" collapsed="false">
      <c r="A69" s="30" t="s">
        <v>318</v>
      </c>
      <c r="B69" s="67" t="n">
        <f aca="false">($D$17)*MIN(($B$17*$C$17*$H$17)*MAX(1,ROUNDUP(((B$28)*$B$17*설정!$B$57)/설정!$B$61,0))+((B$28)*$B$17*설정!$B$57)+((B$28)*$C$17*설정!$B$57),($B$17*$C$17*$H$17)+((B$28)*$B$17*설정!$B$57)*MAX(1,ROUNDUP(($B$17*$C$17*$H$17)/설정!$B$61,0))+((B$28)*$C$17*설정!$B$57))</f>
        <v>22287360</v>
      </c>
      <c r="C69" s="67" t="n">
        <f aca="false">($D$17)*MIN(($B$17*$C$17*$H$17)*MAX(1,ROUNDUP(((C$28)*$B$17*설정!$B$57)/설정!$B$61,0))+((C$28)*$B$17*설정!$B$57)+((C$28)*$C$17*설정!$B$57),($B$17*$C$17*$H$17)+((C$28)*$B$17*설정!$B$57)*MAX(1,ROUNDUP(($B$17*$C$17*$H$17)/설정!$B$61,0))+((C$28)*$C$17*설정!$B$57))</f>
        <v>33592320</v>
      </c>
      <c r="D69" s="67" t="n">
        <f aca="false">($D$17)*MIN(($B$17*$C$17*$H$17)*MAX(1,ROUNDUP(((D$28)*$B$17*설정!$B$57)/설정!$B$61,0))+((D$28)*$B$17*설정!$B$57)+((D$28)*$C$17*설정!$B$57),($B$17*$C$17*$H$17)+((D$28)*$B$17*설정!$B$57)*MAX(1,ROUNDUP(($B$17*$C$17*$H$17)/설정!$B$61,0))+((D$28)*$C$17*설정!$B$57))</f>
        <v>56202240</v>
      </c>
      <c r="E69" s="67" t="n">
        <f aca="false">($D$17)*MIN(($B$17*$C$17*$H$17)*MAX(1,ROUNDUP(((E$28)*$B$17*설정!$B$57)/설정!$B$61,0))+((E$28)*$B$17*설정!$B$57)+((E$28)*$C$17*설정!$B$57),($B$17*$C$17*$H$17)+((E$28)*$B$17*설정!$B$57)*MAX(1,ROUNDUP(($B$17*$C$17*$H$17)/설정!$B$61,0))+((E$28)*$C$17*설정!$B$57))</f>
        <v>101422080</v>
      </c>
      <c r="F69" s="67" t="n">
        <f aca="false">($D$17)*MIN(($B$17*$C$17*$H$17)*MAX(1,ROUNDUP(((F$28)*$B$17*설정!$B$57)/설정!$B$61,0))+((F$28)*$B$17*설정!$B$57)+((F$28)*$C$17*설정!$B$57),($B$17*$C$17*$H$17)+((F$28)*$B$17*설정!$B$57)*MAX(1,ROUNDUP(($B$17*$C$17*$H$17)/설정!$B$61,0))+((F$28)*$C$17*설정!$B$57))</f>
        <v>191861760</v>
      </c>
      <c r="G69" s="67" t="n">
        <f aca="false">($D$17)*MIN(($B$17*$C$17*$H$17)*MAX(1,ROUNDUP(((G$28)*$B$17*설정!$B$57)/설정!$B$61,0))+((G$28)*$B$17*설정!$B$57)+((G$28)*$C$17*설정!$B$57),($B$17*$C$17*$H$17)+((G$28)*$B$17*설정!$B$57)*MAX(1,ROUNDUP(($B$17*$C$17*$H$17)/설정!$B$61,0))+((G$28)*$C$17*설정!$B$57))</f>
        <v>372741120</v>
      </c>
      <c r="H69" s="67" t="n">
        <f aca="false">($D$17)*MIN(($B$17*$C$17*$H$17)*MAX(1,ROUNDUP(((H$28)*$B$17*설정!$B$57)/설정!$B$61,0))+((H$28)*$B$17*설정!$B$57)+((H$28)*$C$17*설정!$B$57),($B$17*$C$17*$H$17)+((H$28)*$B$17*설정!$B$57)*MAX(1,ROUNDUP(($B$17*$C$17*$H$17)/설정!$B$61,0))+((H$28)*$C$17*설정!$B$57))</f>
        <v>734499840</v>
      </c>
      <c r="I69" s="2"/>
    </row>
    <row r="70" customFormat="false" ht="17.15" hidden="false" customHeight="false" outlineLevel="0" collapsed="false">
      <c r="A70" s="30" t="s">
        <v>319</v>
      </c>
      <c r="B70" s="68" t="n">
        <f aca="false">MAX(B68/$I$17,B69/설정!$B$60)*1000</f>
        <v>0.437007058823529</v>
      </c>
      <c r="C70" s="68" t="n">
        <f aca="false">MAX(C68/$I$17,C69/설정!$B$60)*1000</f>
        <v>0.658672941176471</v>
      </c>
      <c r="D70" s="68" t="n">
        <f aca="false">MAX(D68/$I$17,D69/설정!$B$60)*1000</f>
        <v>1.10200470588235</v>
      </c>
      <c r="E70" s="68" t="n">
        <f aca="false">MAX(E68/$I$17,E69/설정!$B$60)*1000</f>
        <v>1.98866823529412</v>
      </c>
      <c r="F70" s="68" t="n">
        <f aca="false">MAX(F68/$I$17,F69/설정!$B$60)*1000</f>
        <v>3.76199529411765</v>
      </c>
      <c r="G70" s="68" t="n">
        <f aca="false">MAX(G68/$I$17,G69/설정!$B$60)*1000</f>
        <v>7.30864941176471</v>
      </c>
      <c r="H70" s="68" t="n">
        <f aca="false">MAX(H68/$I$17,H69/설정!$B$60)*1000</f>
        <v>14.4019576470588</v>
      </c>
      <c r="I70" s="2"/>
    </row>
    <row r="71" customFormat="false" ht="17.15" hidden="false" customHeight="false" outlineLevel="0" collapsed="false">
      <c r="A71" s="30" t="s">
        <v>320</v>
      </c>
      <c r="B71" s="67" t="n">
        <f aca="false">($D$18)*2*(B$28)*$B$18*$C$18</f>
        <v>45675970560</v>
      </c>
      <c r="C71" s="67" t="n">
        <f aca="false">($D$18)*2*(C$28)*$B$18*$C$18</f>
        <v>91351941120</v>
      </c>
      <c r="D71" s="67" t="n">
        <f aca="false">($D$18)*2*(D$28)*$B$18*$C$18</f>
        <v>182703882240</v>
      </c>
      <c r="E71" s="67" t="n">
        <f aca="false">($D$18)*2*(E$28)*$B$18*$C$18</f>
        <v>365407764480</v>
      </c>
      <c r="F71" s="67" t="n">
        <f aca="false">($D$18)*2*(F$28)*$B$18*$C$18</f>
        <v>730815528960</v>
      </c>
      <c r="G71" s="67" t="n">
        <f aca="false">($D$18)*2*(G$28)*$B$18*$C$18</f>
        <v>1461631057920</v>
      </c>
      <c r="H71" s="67" t="n">
        <f aca="false">($D$18)*2*(H$28)*$B$18*$C$18</f>
        <v>2923262115840</v>
      </c>
      <c r="I71" s="2"/>
    </row>
    <row r="72" customFormat="false" ht="17.15" hidden="false" customHeight="false" outlineLevel="0" collapsed="false">
      <c r="A72" s="30" t="s">
        <v>321</v>
      </c>
      <c r="B72" s="67" t="n">
        <f aca="false">($D$18)*MIN(($B$18*$C$18*$H$18)*MAX(1,ROUNDUP(((B$28)*$B$18*설정!$B$57)/설정!$B$61,0))+((B$28)*$B$18*설정!$B$57)+((B$28)*$C$18*설정!$B$57),($B$18*$C$18*$H$18)+((B$28)*$B$18*설정!$B$57)*MAX(1,ROUNDUP(($B$18*$C$18*$H$18)/설정!$B$61,0))+((B$28)*$C$18*설정!$B$57))</f>
        <v>110922240</v>
      </c>
      <c r="C72" s="67" t="n">
        <f aca="false">($D$18)*MIN(($B$18*$C$18*$H$18)*MAX(1,ROUNDUP(((C$28)*$B$18*설정!$B$57)/설정!$B$61,0))+((C$28)*$B$18*설정!$B$57)+((C$28)*$C$18*설정!$B$57),($B$18*$C$18*$H$18)+((C$28)*$B$18*설정!$B$57)*MAX(1,ROUNDUP(($B$18*$C$18*$H$18)/설정!$B$61,0))+((C$28)*$C$18*설정!$B$57))</f>
        <v>129845760</v>
      </c>
      <c r="D72" s="67" t="n">
        <f aca="false">($D$18)*MIN(($B$18*$C$18*$H$18)*MAX(1,ROUNDUP(((D$28)*$B$18*설정!$B$57)/설정!$B$61,0))+((D$28)*$B$18*설정!$B$57)+((D$28)*$C$18*설정!$B$57),($B$18*$C$18*$H$18)+((D$28)*$B$18*설정!$B$57)*MAX(1,ROUNDUP(($B$18*$C$18*$H$18)/설정!$B$61,0))+((D$28)*$C$18*설정!$B$57))</f>
        <v>167692800</v>
      </c>
      <c r="E72" s="67" t="n">
        <f aca="false">($D$18)*MIN(($B$18*$C$18*$H$18)*MAX(1,ROUNDUP(((E$28)*$B$18*설정!$B$57)/설정!$B$61,0))+((E$28)*$B$18*설정!$B$57)+((E$28)*$C$18*설정!$B$57),($B$18*$C$18*$H$18)+((E$28)*$B$18*설정!$B$57)*MAX(1,ROUNDUP(($B$18*$C$18*$H$18)/설정!$B$61,0))+((E$28)*$C$18*설정!$B$57))</f>
        <v>329894400</v>
      </c>
      <c r="F72" s="67" t="n">
        <f aca="false">($D$18)*MIN(($B$18*$C$18*$H$18)*MAX(1,ROUNDUP(((F$28)*$B$18*설정!$B$57)/설정!$B$61,0))+((F$28)*$B$18*설정!$B$57)+((F$28)*$C$18*설정!$B$57),($B$18*$C$18*$H$18)+((F$28)*$B$18*설정!$B$57)*MAX(1,ROUNDUP(($B$18*$C$18*$H$18)/설정!$B$61,0))+((F$28)*$C$18*설정!$B$57))</f>
        <v>567790080</v>
      </c>
      <c r="G72" s="67" t="n">
        <f aca="false">($D$18)*MIN(($B$18*$C$18*$H$18)*MAX(1,ROUNDUP(((G$28)*$B$18*설정!$B$57)/설정!$B$61,0))+((G$28)*$B$18*설정!$B$57)+((G$28)*$C$18*설정!$B$57),($B$18*$C$18*$H$18)+((G$28)*$B$18*설정!$B$57)*MAX(1,ROUNDUP(($B$18*$C$18*$H$18)/설정!$B$61,0))+((G$28)*$C$18*설정!$B$57))</f>
        <v>1043581440</v>
      </c>
      <c r="H72" s="67" t="n">
        <f aca="false">($D$18)*MIN(($B$18*$C$18*$H$18)*MAX(1,ROUNDUP(((H$28)*$B$18*설정!$B$57)/설정!$B$61,0))+((H$28)*$B$18*설정!$B$57)+((H$28)*$C$18*설정!$B$57),($B$18*$C$18*$H$18)+((H$28)*$B$18*설정!$B$57)*MAX(1,ROUNDUP(($B$18*$C$18*$H$18)/설정!$B$61,0))+((H$28)*$C$18*설정!$B$57))</f>
        <v>1995164160</v>
      </c>
      <c r="I72" s="2"/>
    </row>
    <row r="73" customFormat="false" ht="17.15" hidden="false" customHeight="false" outlineLevel="0" collapsed="false">
      <c r="A73" s="30" t="s">
        <v>322</v>
      </c>
      <c r="B73" s="68" t="n">
        <f aca="false">MAX(B71/$I$18,B72/설정!$B$60)*1000</f>
        <v>2.17494588235294</v>
      </c>
      <c r="C73" s="68" t="n">
        <f aca="false">MAX(C71/$I$18,C72/설정!$B$60)*1000</f>
        <v>3.80633088</v>
      </c>
      <c r="D73" s="68" t="n">
        <f aca="false">MAX(D71/$I$18,D72/설정!$B$60)*1000</f>
        <v>7.61266176</v>
      </c>
      <c r="E73" s="68" t="n">
        <f aca="false">MAX(E71/$I$18,E72/설정!$B$60)*1000</f>
        <v>15.22532352</v>
      </c>
      <c r="F73" s="68" t="n">
        <f aca="false">MAX(F71/$I$18,F72/설정!$B$60)*1000</f>
        <v>30.45064704</v>
      </c>
      <c r="G73" s="68" t="n">
        <f aca="false">MAX(G71/$I$18,G72/설정!$B$60)*1000</f>
        <v>60.90129408</v>
      </c>
      <c r="H73" s="68" t="n">
        <f aca="false">MAX(H71/$I$18,H72/설정!$B$60)*1000</f>
        <v>121.80258816</v>
      </c>
      <c r="I73" s="2"/>
    </row>
    <row r="74" customFormat="false" ht="17.15" hidden="false" customHeight="false" outlineLevel="0" collapsed="false">
      <c r="A74" s="30" t="s">
        <v>323</v>
      </c>
      <c r="B74" s="67" t="n">
        <f aca="false">($D$19)*2*(B$28)*$B$19*$C$19</f>
        <v>45675970560</v>
      </c>
      <c r="C74" s="67" t="n">
        <f aca="false">($D$19)*2*(C$28)*$B$19*$C$19</f>
        <v>91351941120</v>
      </c>
      <c r="D74" s="67" t="n">
        <f aca="false">($D$19)*2*(D$28)*$B$19*$C$19</f>
        <v>182703882240</v>
      </c>
      <c r="E74" s="67" t="n">
        <f aca="false">($D$19)*2*(E$28)*$B$19*$C$19</f>
        <v>365407764480</v>
      </c>
      <c r="F74" s="67" t="n">
        <f aca="false">($D$19)*2*(F$28)*$B$19*$C$19</f>
        <v>730815528960</v>
      </c>
      <c r="G74" s="67" t="n">
        <f aca="false">($D$19)*2*(G$28)*$B$19*$C$19</f>
        <v>1461631057920</v>
      </c>
      <c r="H74" s="67" t="n">
        <f aca="false">($D$19)*2*(H$28)*$B$19*$C$19</f>
        <v>2923262115840</v>
      </c>
      <c r="I74" s="2"/>
    </row>
    <row r="75" customFormat="false" ht="17.15" hidden="false" customHeight="false" outlineLevel="0" collapsed="false">
      <c r="A75" s="30" t="s">
        <v>324</v>
      </c>
      <c r="B75" s="67" t="n">
        <f aca="false">($D$19)*MIN(($B$19*$C$19*$H$19)*MAX(1,ROUNDUP(((B$28)*$B$19*설정!$B$57)/설정!$B$61,0))+((B$28)*$B$19*설정!$B$57)+((B$28)*$C$19*설정!$B$57),($B$19*$C$19*$H$19)+((B$28)*$B$19*설정!$B$57)*MAX(1,ROUNDUP(($B$19*$C$19*$H$19)/설정!$B$61,0))+((B$28)*$C$19*설정!$B$57))</f>
        <v>110922240</v>
      </c>
      <c r="C75" s="67" t="n">
        <f aca="false">($D$19)*MIN(($B$19*$C$19*$H$19)*MAX(1,ROUNDUP(((C$28)*$B$19*설정!$B$57)/설정!$B$61,0))+((C$28)*$B$19*설정!$B$57)+((C$28)*$C$19*설정!$B$57),($B$19*$C$19*$H$19)+((C$28)*$B$19*설정!$B$57)*MAX(1,ROUNDUP(($B$19*$C$19*$H$19)/설정!$B$61,0))+((C$28)*$C$19*설정!$B$57))</f>
        <v>129845760</v>
      </c>
      <c r="D75" s="67" t="n">
        <f aca="false">($D$19)*MIN(($B$19*$C$19*$H$19)*MAX(1,ROUNDUP(((D$28)*$B$19*설정!$B$57)/설정!$B$61,0))+((D$28)*$B$19*설정!$B$57)+((D$28)*$C$19*설정!$B$57),($B$19*$C$19*$H$19)+((D$28)*$B$19*설정!$B$57)*MAX(1,ROUNDUP(($B$19*$C$19*$H$19)/설정!$B$61,0))+((D$28)*$C$19*설정!$B$57))</f>
        <v>167692800</v>
      </c>
      <c r="E75" s="67" t="n">
        <f aca="false">($D$19)*MIN(($B$19*$C$19*$H$19)*MAX(1,ROUNDUP(((E$28)*$B$19*설정!$B$57)/설정!$B$61,0))+((E$28)*$B$19*설정!$B$57)+((E$28)*$C$19*설정!$B$57),($B$19*$C$19*$H$19)+((E$28)*$B$19*설정!$B$57)*MAX(1,ROUNDUP(($B$19*$C$19*$H$19)/설정!$B$61,0))+((E$28)*$C$19*설정!$B$57))</f>
        <v>329894400</v>
      </c>
      <c r="F75" s="67" t="n">
        <f aca="false">($D$19)*MIN(($B$19*$C$19*$H$19)*MAX(1,ROUNDUP(((F$28)*$B$19*설정!$B$57)/설정!$B$61,0))+((F$28)*$B$19*설정!$B$57)+((F$28)*$C$19*설정!$B$57),($B$19*$C$19*$H$19)+((F$28)*$B$19*설정!$B$57)*MAX(1,ROUNDUP(($B$19*$C$19*$H$19)/설정!$B$61,0))+((F$28)*$C$19*설정!$B$57))</f>
        <v>567790080</v>
      </c>
      <c r="G75" s="67" t="n">
        <f aca="false">($D$19)*MIN(($B$19*$C$19*$H$19)*MAX(1,ROUNDUP(((G$28)*$B$19*설정!$B$57)/설정!$B$61,0))+((G$28)*$B$19*설정!$B$57)+((G$28)*$C$19*설정!$B$57),($B$19*$C$19*$H$19)+((G$28)*$B$19*설정!$B$57)*MAX(1,ROUNDUP(($B$19*$C$19*$H$19)/설정!$B$61,0))+((G$28)*$C$19*설정!$B$57))</f>
        <v>1043581440</v>
      </c>
      <c r="H75" s="67" t="n">
        <f aca="false">($D$19)*MIN(($B$19*$C$19*$H$19)*MAX(1,ROUNDUP(((H$28)*$B$19*설정!$B$57)/설정!$B$61,0))+((H$28)*$B$19*설정!$B$57)+((H$28)*$C$19*설정!$B$57),($B$19*$C$19*$H$19)+((H$28)*$B$19*설정!$B$57)*MAX(1,ROUNDUP(($B$19*$C$19*$H$19)/설정!$B$61,0))+((H$28)*$C$19*설정!$B$57))</f>
        <v>1995164160</v>
      </c>
      <c r="I75" s="2"/>
    </row>
    <row r="76" customFormat="false" ht="17.15" hidden="false" customHeight="false" outlineLevel="0" collapsed="false">
      <c r="A76" s="30" t="s">
        <v>325</v>
      </c>
      <c r="B76" s="68" t="n">
        <f aca="false">MAX(B74/$I$19,B75/설정!$B$60)*1000</f>
        <v>2.17494588235294</v>
      </c>
      <c r="C76" s="68" t="n">
        <f aca="false">MAX(C74/$I$19,C75/설정!$B$60)*1000</f>
        <v>3.80633088</v>
      </c>
      <c r="D76" s="68" t="n">
        <f aca="false">MAX(D74/$I$19,D75/설정!$B$60)*1000</f>
        <v>7.61266176</v>
      </c>
      <c r="E76" s="68" t="n">
        <f aca="false">MAX(E74/$I$19,E75/설정!$B$60)*1000</f>
        <v>15.22532352</v>
      </c>
      <c r="F76" s="68" t="n">
        <f aca="false">MAX(F74/$I$19,F75/설정!$B$60)*1000</f>
        <v>30.45064704</v>
      </c>
      <c r="G76" s="68" t="n">
        <f aca="false">MAX(G74/$I$19,G75/설정!$B$60)*1000</f>
        <v>60.90129408</v>
      </c>
      <c r="H76" s="68" t="n">
        <f aca="false">MAX(H74/$I$19,H75/설정!$B$60)*1000</f>
        <v>121.80258816</v>
      </c>
      <c r="I76" s="2"/>
    </row>
    <row r="77" customFormat="false" ht="17.15" hidden="false" customHeight="false" outlineLevel="0" collapsed="false">
      <c r="A77" s="30" t="s">
        <v>326</v>
      </c>
      <c r="B77" s="67" t="n">
        <f aca="false">($D$20)*2*(B$28)*$B$20*$C$20</f>
        <v>45675970560</v>
      </c>
      <c r="C77" s="67" t="n">
        <f aca="false">($D$20)*2*(C$28)*$B$20*$C$20</f>
        <v>91351941120</v>
      </c>
      <c r="D77" s="67" t="n">
        <f aca="false">($D$20)*2*(D$28)*$B$20*$C$20</f>
        <v>182703882240</v>
      </c>
      <c r="E77" s="67" t="n">
        <f aca="false">($D$20)*2*(E$28)*$B$20*$C$20</f>
        <v>365407764480</v>
      </c>
      <c r="F77" s="67" t="n">
        <f aca="false">($D$20)*2*(F$28)*$B$20*$C$20</f>
        <v>730815528960</v>
      </c>
      <c r="G77" s="67" t="n">
        <f aca="false">($D$20)*2*(G$28)*$B$20*$C$20</f>
        <v>1461631057920</v>
      </c>
      <c r="H77" s="67" t="n">
        <f aca="false">($D$20)*2*(H$28)*$B$20*$C$20</f>
        <v>2923262115840</v>
      </c>
      <c r="I77" s="2"/>
    </row>
    <row r="78" customFormat="false" ht="17.15" hidden="false" customHeight="false" outlineLevel="0" collapsed="false">
      <c r="A78" s="30" t="s">
        <v>327</v>
      </c>
      <c r="B78" s="67" t="n">
        <f aca="false">($D$20)*MIN(($B$20*$C$20*$H$20)*MAX(1,ROUNDUP(((B$28)*$B$20*설정!$B$57)/설정!$B$61,0))+((B$28)*$B$20*설정!$B$57)+((B$28)*$C$20*설정!$B$57),($B$20*$C$20*$H$20)+((B$28)*$B$20*설정!$B$57)*MAX(1,ROUNDUP(($B$20*$C$20*$H$20)/설정!$B$61,0))+((B$28)*$C$20*설정!$B$57))</f>
        <v>110922240</v>
      </c>
      <c r="C78" s="67" t="n">
        <f aca="false">($D$20)*MIN(($B$20*$C$20*$H$20)*MAX(1,ROUNDUP(((C$28)*$B$20*설정!$B$57)/설정!$B$61,0))+((C$28)*$B$20*설정!$B$57)+((C$28)*$C$20*설정!$B$57),($B$20*$C$20*$H$20)+((C$28)*$B$20*설정!$B$57)*MAX(1,ROUNDUP(($B$20*$C$20*$H$20)/설정!$B$61,0))+((C$28)*$C$20*설정!$B$57))</f>
        <v>129845760</v>
      </c>
      <c r="D78" s="67" t="n">
        <f aca="false">($D$20)*MIN(($B$20*$C$20*$H$20)*MAX(1,ROUNDUP(((D$28)*$B$20*설정!$B$57)/설정!$B$61,0))+((D$28)*$B$20*설정!$B$57)+((D$28)*$C$20*설정!$B$57),($B$20*$C$20*$H$20)+((D$28)*$B$20*설정!$B$57)*MAX(1,ROUNDUP(($B$20*$C$20*$H$20)/설정!$B$61,0))+((D$28)*$C$20*설정!$B$57))</f>
        <v>167692800</v>
      </c>
      <c r="E78" s="67" t="n">
        <f aca="false">($D$20)*MIN(($B$20*$C$20*$H$20)*MAX(1,ROUNDUP(((E$28)*$B$20*설정!$B$57)/설정!$B$61,0))+((E$28)*$B$20*설정!$B$57)+((E$28)*$C$20*설정!$B$57),($B$20*$C$20*$H$20)+((E$28)*$B$20*설정!$B$57)*MAX(1,ROUNDUP(($B$20*$C$20*$H$20)/설정!$B$61,0))+((E$28)*$C$20*설정!$B$57))</f>
        <v>308267520</v>
      </c>
      <c r="F78" s="67" t="n">
        <f aca="false">($D$20)*MIN(($B$20*$C$20*$H$20)*MAX(1,ROUNDUP(((F$28)*$B$20*설정!$B$57)/설정!$B$61,0))+((F$28)*$B$20*설정!$B$57)+((F$28)*$C$20*설정!$B$57),($B$20*$C$20*$H$20)+((F$28)*$B$20*설정!$B$57)*MAX(1,ROUNDUP(($B$20*$C$20*$H$20)/설정!$B$61,0))+((F$28)*$C$20*설정!$B$57))</f>
        <v>524536320</v>
      </c>
      <c r="G78" s="67" t="n">
        <f aca="false">($D$20)*MIN(($B$20*$C$20*$H$20)*MAX(1,ROUNDUP(((G$28)*$B$20*설정!$B$57)/설정!$B$61,0))+((G$28)*$B$20*설정!$B$57)+((G$28)*$C$20*설정!$B$57),($B$20*$C$20*$H$20)+((G$28)*$B$20*설정!$B$57)*MAX(1,ROUNDUP(($B$20*$C$20*$H$20)/설정!$B$61,0))+((G$28)*$C$20*설정!$B$57))</f>
        <v>957073920</v>
      </c>
      <c r="H78" s="67" t="n">
        <f aca="false">($D$20)*MIN(($B$20*$C$20*$H$20)*MAX(1,ROUNDUP(((H$28)*$B$20*설정!$B$57)/설정!$B$61,0))+((H$28)*$B$20*설정!$B$57)+((H$28)*$C$20*설정!$B$57),($B$20*$C$20*$H$20)+((H$28)*$B$20*설정!$B$57)*MAX(1,ROUNDUP(($B$20*$C$20*$H$20)/설정!$B$61,0))+((H$28)*$C$20*설정!$B$57))</f>
        <v>1822149120</v>
      </c>
      <c r="I78" s="2"/>
    </row>
    <row r="79" customFormat="false" ht="17.15" hidden="false" customHeight="false" outlineLevel="0" collapsed="false">
      <c r="A79" s="30" t="s">
        <v>328</v>
      </c>
      <c r="B79" s="68" t="n">
        <f aca="false">MAX(B77/$I$20,B78/설정!$B$60)*1000</f>
        <v>2.17494588235294</v>
      </c>
      <c r="C79" s="68" t="n">
        <f aca="false">MAX(C77/$I$20,C78/설정!$B$60)*1000</f>
        <v>3.80633088</v>
      </c>
      <c r="D79" s="68" t="n">
        <f aca="false">MAX(D77/$I$20,D78/설정!$B$60)*1000</f>
        <v>7.61266176</v>
      </c>
      <c r="E79" s="68" t="n">
        <f aca="false">MAX(E77/$I$20,E78/설정!$B$60)*1000</f>
        <v>15.22532352</v>
      </c>
      <c r="F79" s="68" t="n">
        <f aca="false">MAX(F77/$I$20,F78/설정!$B$60)*1000</f>
        <v>30.45064704</v>
      </c>
      <c r="G79" s="68" t="n">
        <f aca="false">MAX(G77/$I$20,G78/설정!$B$60)*1000</f>
        <v>60.90129408</v>
      </c>
      <c r="H79" s="68" t="n">
        <f aca="false">MAX(H77/$I$20,H78/설정!$B$60)*1000</f>
        <v>121.80258816</v>
      </c>
      <c r="I79" s="2"/>
    </row>
    <row r="80" customFormat="false" ht="17.15" hidden="false" customHeight="false" outlineLevel="0" collapsed="false">
      <c r="A80" s="30" t="s">
        <v>329</v>
      </c>
      <c r="B80" s="67" t="n">
        <f aca="false">($D$21*B$29)*2*(B$31)*$B$21*$C$21</f>
        <v>121802588160</v>
      </c>
      <c r="C80" s="67" t="n">
        <f aca="false">($D$21*C$29)*2*(C$31)*$B$21*$C$21</f>
        <v>243605176320</v>
      </c>
      <c r="D80" s="67" t="n">
        <f aca="false">($D$21*D$29)*2*(D$31)*$B$21*$C$21</f>
        <v>487210352640</v>
      </c>
      <c r="E80" s="67" t="n">
        <f aca="false">($D$21*E$29)*2*(E$31)*$B$21*$C$21</f>
        <v>974420705280</v>
      </c>
      <c r="F80" s="67" t="n">
        <f aca="false">($D$21*F$29)*2*(F$31)*$B$21*$C$21</f>
        <v>1948841410560</v>
      </c>
      <c r="G80" s="67" t="n">
        <f aca="false">($D$21*G$29)*2*(G$31)*$B$21*$C$21</f>
        <v>3897682821120</v>
      </c>
      <c r="H80" s="67" t="n">
        <f aca="false">($D$21*H$29)*2*(H$31)*$B$21*$C$21</f>
        <v>7795365642240</v>
      </c>
      <c r="I80" s="2"/>
    </row>
    <row r="81" customFormat="false" ht="17.15" hidden="false" customHeight="false" outlineLevel="0" collapsed="false">
      <c r="A81" s="30" t="s">
        <v>330</v>
      </c>
      <c r="B81" s="67" t="n">
        <f aca="false">($D$21*B$29)*MIN(($B$21*$C$21*$H$21)*MAX(1,ROUNDUP(((B$31)*$B$21*설정!$B$57)/설정!$B$61,0))+((B$31)*$B$21*설정!$B$57)+((B$31)*$C$21*설정!$B$57),($B$21*$C$21*$H$21)+((B$31)*$B$21*설정!$B$57)*MAX(1,ROUNDUP(($B$21*$C$21*$H$21)/설정!$B$61,0))+((B$31)*$C$21*설정!$B$57))</f>
        <v>4032398755.87986</v>
      </c>
      <c r="C81" s="67" t="n">
        <f aca="false">($D$21*C$29)*MIN(($B$21*$C$21*$H$21)*MAX(1,ROUNDUP(((C$31)*$B$21*설정!$B$57)/설정!$B$61,0))+((C$31)*$B$21*설정!$B$57)+((C$31)*$C$21*설정!$B$57),($B$21*$C$21*$H$21)+((C$31)*$B$21*설정!$B$57)*MAX(1,ROUNDUP(($B$21*$C$21*$H$21)/설정!$B$61,0))+((C$31)*$C$21*설정!$B$57))</f>
        <v>4141547257.86968</v>
      </c>
      <c r="D81" s="67" t="n">
        <f aca="false">($D$21*D$29)*MIN(($B$21*$C$21*$H$21)*MAX(1,ROUNDUP(((D$31)*$B$21*설정!$B$57)/설정!$B$61,0))+((D$31)*$B$21*설정!$B$57)+((D$31)*$C$21*설정!$B$57),($B$21*$C$21*$H$21)+((D$31)*$B$21*설정!$B$57)*MAX(1,ROUNDUP(($B$21*$C$21*$H$21)/설정!$B$61,0))+((D$31)*$C$21*설정!$B$57))</f>
        <v>4357816319.99998</v>
      </c>
      <c r="E81" s="67" t="n">
        <f aca="false">($D$21*E$29)*MIN(($B$21*$C$21*$H$21)*MAX(1,ROUNDUP(((E$31)*$B$21*설정!$B$57)/설정!$B$61,0))+((E$31)*$B$21*설정!$B$57)+((E$31)*$C$21*설정!$B$57),($B$21*$C$21*$H$21)+((E$31)*$B$21*설정!$B$57)*MAX(1,ROUNDUP(($B$21*$C$21*$H$21)/설정!$B$61,0))+((E$31)*$C$21*설정!$B$57))</f>
        <v>4790353920</v>
      </c>
      <c r="F81" s="67" t="n">
        <f aca="false">($D$21*F$29)*MIN(($B$21*$C$21*$H$21)*MAX(1,ROUNDUP(((F$31)*$B$21*설정!$B$57)/설정!$B$61,0))+((F$31)*$B$21*설정!$B$57)+((F$31)*$C$21*설정!$B$57),($B$21*$C$21*$H$21)+((F$31)*$B$21*설정!$B$57)*MAX(1,ROUNDUP(($B$21*$C$21*$H$21)/설정!$B$61,0))+((F$31)*$C$21*설정!$B$57))</f>
        <v>5655429120</v>
      </c>
      <c r="G81" s="67" t="n">
        <f aca="false">($D$21*G$29)*MIN(($B$21*$C$21*$H$21)*MAX(1,ROUNDUP(((G$31)*$B$21*설정!$B$57)/설정!$B$61,0))+((G$31)*$B$21*설정!$B$57)+((G$31)*$C$21*설정!$B$57),($B$21*$C$21*$H$21)+((G$31)*$B$21*설정!$B$57)*MAX(1,ROUNDUP(($B$21*$C$21*$H$21)/설정!$B$61,0))+((G$31)*$C$21*설정!$B$57))</f>
        <v>7385579520</v>
      </c>
      <c r="H81" s="67" t="n">
        <f aca="false">($D$21*H$29)*MIN(($B$21*$C$21*$H$21)*MAX(1,ROUNDUP(((H$31)*$B$21*설정!$B$57)/설정!$B$61,0))+((H$31)*$B$21*설정!$B$57)+((H$31)*$C$21*설정!$B$57),($B$21*$C$21*$H$21)+((H$31)*$B$21*설정!$B$57)*MAX(1,ROUNDUP(($B$21*$C$21*$H$21)/설정!$B$61,0))+((H$31)*$C$21*설정!$B$57))</f>
        <v>10845880320</v>
      </c>
      <c r="I81" s="2"/>
    </row>
    <row r="82" customFormat="false" ht="17.15" hidden="false" customHeight="false" outlineLevel="0" collapsed="false">
      <c r="A82" s="30" t="s">
        <v>331</v>
      </c>
      <c r="B82" s="68" t="n">
        <f aca="false">MAX(B80/$I$21,B81/설정!$B$60)*1000</f>
        <v>79.0666422721541</v>
      </c>
      <c r="C82" s="68" t="n">
        <f aca="false">MAX(C80/$I$21,C81/설정!$B$60)*1000</f>
        <v>81.2068089778369</v>
      </c>
      <c r="D82" s="68" t="n">
        <f aca="false">MAX(D80/$I$21,D81/설정!$B$60)*1000</f>
        <v>85.4473788235291</v>
      </c>
      <c r="E82" s="68" t="n">
        <f aca="false">MAX(E80/$I$21,E81/설정!$B$60)*1000</f>
        <v>93.9285082352941</v>
      </c>
      <c r="F82" s="68" t="n">
        <f aca="false">MAX(F80/$I$21,F81/설정!$B$60)*1000</f>
        <v>110.890767058824</v>
      </c>
      <c r="G82" s="68" t="n">
        <f aca="false">MAX(G80/$I$21,G81/설정!$B$60)*1000</f>
        <v>162.40345088</v>
      </c>
      <c r="H82" s="68" t="n">
        <f aca="false">MAX(H80/$I$21,H81/설정!$B$60)*1000</f>
        <v>324.80690176</v>
      </c>
      <c r="I82" s="2"/>
    </row>
    <row r="83" customFormat="false" ht="17.15" hidden="false" customHeight="false" outlineLevel="0" collapsed="false">
      <c r="A83" s="30" t="s">
        <v>332</v>
      </c>
      <c r="B83" s="67" t="n">
        <f aca="false">($D$22*B$29)*2*(B$31)*$B$22*$C$22</f>
        <v>121802588160</v>
      </c>
      <c r="C83" s="67" t="n">
        <f aca="false">($D$22*C$29)*2*(C$31)*$B$22*$C$22</f>
        <v>243605176320</v>
      </c>
      <c r="D83" s="67" t="n">
        <f aca="false">($D$22*D$29)*2*(D$31)*$B$22*$C$22</f>
        <v>487210352640</v>
      </c>
      <c r="E83" s="67" t="n">
        <f aca="false">($D$22*E$29)*2*(E$31)*$B$22*$C$22</f>
        <v>974420705280</v>
      </c>
      <c r="F83" s="67" t="n">
        <f aca="false">($D$22*F$29)*2*(F$31)*$B$22*$C$22</f>
        <v>1948841410560</v>
      </c>
      <c r="G83" s="67" t="n">
        <f aca="false">($D$22*G$29)*2*(G$31)*$B$22*$C$22</f>
        <v>3897682821120</v>
      </c>
      <c r="H83" s="67" t="n">
        <f aca="false">($D$22*H$29)*2*(H$31)*$B$22*$C$22</f>
        <v>7795365642240</v>
      </c>
      <c r="I83" s="2"/>
    </row>
    <row r="84" customFormat="false" ht="17.15" hidden="false" customHeight="false" outlineLevel="0" collapsed="false">
      <c r="A84" s="30" t="s">
        <v>333</v>
      </c>
      <c r="B84" s="67" t="n">
        <f aca="false">($D$22*B$29)*MIN(($B$22*$C$22*$H$22)*MAX(1,ROUNDUP(((B$31)*$B$22*설정!$B$57)/설정!$B$61,0))+((B$31)*$B$22*설정!$B$57)+((B$31)*$C$22*설정!$B$57),($B$22*$C$22*$H$22)+((B$31)*$B$22*설정!$B$57)*MAX(1,ROUNDUP(($B$22*$C$22*$H$22)/설정!$B$61,0))+((B$31)*$C$22*설정!$B$57))</f>
        <v>4032398755.87986</v>
      </c>
      <c r="C84" s="67" t="n">
        <f aca="false">($D$22*C$29)*MIN(($B$22*$C$22*$H$22)*MAX(1,ROUNDUP(((C$31)*$B$22*설정!$B$57)/설정!$B$61,0))+((C$31)*$B$22*설정!$B$57)+((C$31)*$C$22*설정!$B$57),($B$22*$C$22*$H$22)+((C$31)*$B$22*설정!$B$57)*MAX(1,ROUNDUP(($B$22*$C$22*$H$22)/설정!$B$61,0))+((C$31)*$C$22*설정!$B$57))</f>
        <v>4141547257.86968</v>
      </c>
      <c r="D84" s="67" t="n">
        <f aca="false">($D$22*D$29)*MIN(($B$22*$C$22*$H$22)*MAX(1,ROUNDUP(((D$31)*$B$22*설정!$B$57)/설정!$B$61,0))+((D$31)*$B$22*설정!$B$57)+((D$31)*$C$22*설정!$B$57),($B$22*$C$22*$H$22)+((D$31)*$B$22*설정!$B$57)*MAX(1,ROUNDUP(($B$22*$C$22*$H$22)/설정!$B$61,0))+((D$31)*$C$22*설정!$B$57))</f>
        <v>4357816319.99998</v>
      </c>
      <c r="E84" s="67" t="n">
        <f aca="false">($D$22*E$29)*MIN(($B$22*$C$22*$H$22)*MAX(1,ROUNDUP(((E$31)*$B$22*설정!$B$57)/설정!$B$61,0))+((E$31)*$B$22*설정!$B$57)+((E$31)*$C$22*설정!$B$57),($B$22*$C$22*$H$22)+((E$31)*$B$22*설정!$B$57)*MAX(1,ROUNDUP(($B$22*$C$22*$H$22)/설정!$B$61,0))+((E$31)*$C$22*설정!$B$57))</f>
        <v>4790353920</v>
      </c>
      <c r="F84" s="67" t="n">
        <f aca="false">($D$22*F$29)*MIN(($B$22*$C$22*$H$22)*MAX(1,ROUNDUP(((F$31)*$B$22*설정!$B$57)/설정!$B$61,0))+((F$31)*$B$22*설정!$B$57)+((F$31)*$C$22*설정!$B$57),($B$22*$C$22*$H$22)+((F$31)*$B$22*설정!$B$57)*MAX(1,ROUNDUP(($B$22*$C$22*$H$22)/설정!$B$61,0))+((F$31)*$C$22*설정!$B$57))</f>
        <v>5655429120</v>
      </c>
      <c r="G84" s="67" t="n">
        <f aca="false">($D$22*G$29)*MIN(($B$22*$C$22*$H$22)*MAX(1,ROUNDUP(((G$31)*$B$22*설정!$B$57)/설정!$B$61,0))+((G$31)*$B$22*설정!$B$57)+((G$31)*$C$22*설정!$B$57),($B$22*$C$22*$H$22)+((G$31)*$B$22*설정!$B$57)*MAX(1,ROUNDUP(($B$22*$C$22*$H$22)/설정!$B$61,0))+((G$31)*$C$22*설정!$B$57))</f>
        <v>7385579520</v>
      </c>
      <c r="H84" s="67" t="n">
        <f aca="false">($D$22*H$29)*MIN(($B$22*$C$22*$H$22)*MAX(1,ROUNDUP(((H$31)*$B$22*설정!$B$57)/설정!$B$61,0))+((H$31)*$B$22*설정!$B$57)+((H$31)*$C$22*설정!$B$57),($B$22*$C$22*$H$22)+((H$31)*$B$22*설정!$B$57)*MAX(1,ROUNDUP(($B$22*$C$22*$H$22)/설정!$B$61,0))+((H$31)*$C$22*설정!$B$57))</f>
        <v>10845880320</v>
      </c>
      <c r="I84" s="2"/>
    </row>
    <row r="85" customFormat="false" ht="17.15" hidden="false" customHeight="false" outlineLevel="0" collapsed="false">
      <c r="A85" s="30" t="s">
        <v>334</v>
      </c>
      <c r="B85" s="68" t="n">
        <f aca="false">MAX(B83/$I$22,B84/설정!$B$60)*1000</f>
        <v>79.0666422721541</v>
      </c>
      <c r="C85" s="68" t="n">
        <f aca="false">MAX(C83/$I$22,C84/설정!$B$60)*1000</f>
        <v>81.2068089778369</v>
      </c>
      <c r="D85" s="68" t="n">
        <f aca="false">MAX(D83/$I$22,D84/설정!$B$60)*1000</f>
        <v>85.4473788235291</v>
      </c>
      <c r="E85" s="68" t="n">
        <f aca="false">MAX(E83/$I$22,E84/설정!$B$60)*1000</f>
        <v>93.9285082352941</v>
      </c>
      <c r="F85" s="68" t="n">
        <f aca="false">MAX(F83/$I$22,F84/설정!$B$60)*1000</f>
        <v>110.890767058824</v>
      </c>
      <c r="G85" s="68" t="n">
        <f aca="false">MAX(G83/$I$22,G84/설정!$B$60)*1000</f>
        <v>162.40345088</v>
      </c>
      <c r="H85" s="68" t="n">
        <f aca="false">MAX(H83/$I$22,H84/설정!$B$60)*1000</f>
        <v>324.80690176</v>
      </c>
      <c r="I85" s="2"/>
    </row>
    <row r="86" customFormat="false" ht="17.15" hidden="false" customHeight="false" outlineLevel="0" collapsed="false">
      <c r="A86" s="30" t="s">
        <v>335</v>
      </c>
      <c r="B86" s="67" t="n">
        <f aca="false">($D$23*B$29)*2*(B$31)*$B$23*$C$23</f>
        <v>121802588160</v>
      </c>
      <c r="C86" s="67" t="n">
        <f aca="false">($D$23*C$29)*2*(C$31)*$B$23*$C$23</f>
        <v>243605176320</v>
      </c>
      <c r="D86" s="67" t="n">
        <f aca="false">($D$23*D$29)*2*(D$31)*$B$23*$C$23</f>
        <v>487210352640</v>
      </c>
      <c r="E86" s="67" t="n">
        <f aca="false">($D$23*E$29)*2*(E$31)*$B$23*$C$23</f>
        <v>974420705280</v>
      </c>
      <c r="F86" s="67" t="n">
        <f aca="false">($D$23*F$29)*2*(F$31)*$B$23*$C$23</f>
        <v>1948841410560</v>
      </c>
      <c r="G86" s="67" t="n">
        <f aca="false">($D$23*G$29)*2*(G$31)*$B$23*$C$23</f>
        <v>3897682821120</v>
      </c>
      <c r="H86" s="67" t="n">
        <f aca="false">($D$23*H$29)*2*(H$31)*$B$23*$C$23</f>
        <v>7795365642240</v>
      </c>
      <c r="I86" s="2"/>
    </row>
    <row r="87" customFormat="false" ht="17.15" hidden="false" customHeight="false" outlineLevel="0" collapsed="false">
      <c r="A87" s="30" t="s">
        <v>336</v>
      </c>
      <c r="B87" s="67" t="n">
        <f aca="false">($D$23*B$29)*MIN(($B$23*$C$23*$H$23)*MAX(1,ROUNDUP(((B$31)*$B$23*설정!$B$57)/설정!$B$61,0))+((B$31)*$B$23*설정!$B$57)+((B$31)*$C$23*설정!$B$57),($B$23*$C$23*$H$23)+((B$31)*$B$23*설정!$B$57)*MAX(1,ROUNDUP(($B$23*$C$23*$H$23)/설정!$B$61,0))+((B$31)*$C$23*설정!$B$57))</f>
        <v>4032398755.87986</v>
      </c>
      <c r="C87" s="67" t="n">
        <f aca="false">($D$23*C$29)*MIN(($B$23*$C$23*$H$23)*MAX(1,ROUNDUP(((C$31)*$B$23*설정!$B$57)/설정!$B$61,0))+((C$31)*$B$23*설정!$B$57)+((C$31)*$C$23*설정!$B$57),($B$23*$C$23*$H$23)+((C$31)*$B$23*설정!$B$57)*MAX(1,ROUNDUP(($B$23*$C$23*$H$23)/설정!$B$61,0))+((C$31)*$C$23*설정!$B$57))</f>
        <v>4141547257.86968</v>
      </c>
      <c r="D87" s="67" t="n">
        <f aca="false">($D$23*D$29)*MIN(($B$23*$C$23*$H$23)*MAX(1,ROUNDUP(((D$31)*$B$23*설정!$B$57)/설정!$B$61,0))+((D$31)*$B$23*설정!$B$57)+((D$31)*$C$23*설정!$B$57),($B$23*$C$23*$H$23)+((D$31)*$B$23*설정!$B$57)*MAX(1,ROUNDUP(($B$23*$C$23*$H$23)/설정!$B$61,0))+((D$31)*$C$23*설정!$B$57))</f>
        <v>4357816319.99998</v>
      </c>
      <c r="E87" s="67" t="n">
        <f aca="false">($D$23*E$29)*MIN(($B$23*$C$23*$H$23)*MAX(1,ROUNDUP(((E$31)*$B$23*설정!$B$57)/설정!$B$61,0))+((E$31)*$B$23*설정!$B$57)+((E$31)*$C$23*설정!$B$57),($B$23*$C$23*$H$23)+((E$31)*$B$23*설정!$B$57)*MAX(1,ROUNDUP(($B$23*$C$23*$H$23)/설정!$B$61,0))+((E$31)*$C$23*설정!$B$57))</f>
        <v>4790353920</v>
      </c>
      <c r="F87" s="67" t="n">
        <f aca="false">($D$23*F$29)*MIN(($B$23*$C$23*$H$23)*MAX(1,ROUNDUP(((F$31)*$B$23*설정!$B$57)/설정!$B$61,0))+((F$31)*$B$23*설정!$B$57)+((F$31)*$C$23*설정!$B$57),($B$23*$C$23*$H$23)+((F$31)*$B$23*설정!$B$57)*MAX(1,ROUNDUP(($B$23*$C$23*$H$23)/설정!$B$61,0))+((F$31)*$C$23*설정!$B$57))</f>
        <v>5655429120</v>
      </c>
      <c r="G87" s="67" t="n">
        <f aca="false">($D$23*G$29)*MIN(($B$23*$C$23*$H$23)*MAX(1,ROUNDUP(((G$31)*$B$23*설정!$B$57)/설정!$B$61,0))+((G$31)*$B$23*설정!$B$57)+((G$31)*$C$23*설정!$B$57),($B$23*$C$23*$H$23)+((G$31)*$B$23*설정!$B$57)*MAX(1,ROUNDUP(($B$23*$C$23*$H$23)/설정!$B$61,0))+((G$31)*$C$23*설정!$B$57))</f>
        <v>7385579520</v>
      </c>
      <c r="H87" s="67" t="n">
        <f aca="false">($D$23*H$29)*MIN(($B$23*$C$23*$H$23)*MAX(1,ROUNDUP(((H$31)*$B$23*설정!$B$57)/설정!$B$61,0))+((H$31)*$B$23*설정!$B$57)+((H$31)*$C$23*설정!$B$57),($B$23*$C$23*$H$23)+((H$31)*$B$23*설정!$B$57)*MAX(1,ROUNDUP(($B$23*$C$23*$H$23)/설정!$B$61,0))+((H$31)*$C$23*설정!$B$57))</f>
        <v>10845880320</v>
      </c>
      <c r="I87" s="2"/>
    </row>
    <row r="88" customFormat="false" ht="17.15" hidden="false" customHeight="false" outlineLevel="0" collapsed="false">
      <c r="A88" s="30" t="s">
        <v>337</v>
      </c>
      <c r="B88" s="68" t="n">
        <f aca="false">MAX(B86/$I$23,B87/설정!$B$60)*1000</f>
        <v>79.0666422721541</v>
      </c>
      <c r="C88" s="68" t="n">
        <f aca="false">MAX(C86/$I$23,C87/설정!$B$60)*1000</f>
        <v>81.2068089778369</v>
      </c>
      <c r="D88" s="68" t="n">
        <f aca="false">MAX(D86/$I$23,D87/설정!$B$60)*1000</f>
        <v>85.4473788235291</v>
      </c>
      <c r="E88" s="68" t="n">
        <f aca="false">MAX(E86/$I$23,E87/설정!$B$60)*1000</f>
        <v>93.9285082352941</v>
      </c>
      <c r="F88" s="68" t="n">
        <f aca="false">MAX(F86/$I$23,F87/설정!$B$60)*1000</f>
        <v>110.890767058824</v>
      </c>
      <c r="G88" s="68" t="n">
        <f aca="false">MAX(G86/$I$23,G87/설정!$B$60)*1000</f>
        <v>162.40345088</v>
      </c>
      <c r="H88" s="68" t="n">
        <f aca="false">MAX(H86/$I$23,H87/설정!$B$60)*1000</f>
        <v>324.80690176</v>
      </c>
      <c r="I88" s="2"/>
    </row>
    <row r="89" customFormat="false" ht="17.15" hidden="false" customHeight="false" outlineLevel="0" collapsed="false">
      <c r="A89" s="30" t="s">
        <v>338</v>
      </c>
      <c r="B89" s="67" t="n">
        <f aca="false">($D$24)*2*(1)*$B$24*$C$24</f>
        <v>1476395008</v>
      </c>
      <c r="C89" s="67" t="n">
        <f aca="false">($D$24)*2*(1)*$B$24*$C$24</f>
        <v>1476395008</v>
      </c>
      <c r="D89" s="67" t="n">
        <f aca="false">($D$24)*2*(1)*$B$24*$C$24</f>
        <v>1476395008</v>
      </c>
      <c r="E89" s="67" t="n">
        <f aca="false">($D$24)*2*(1)*$B$24*$C$24</f>
        <v>1476395008</v>
      </c>
      <c r="F89" s="67" t="n">
        <f aca="false">($D$24)*2*(1)*$B$24*$C$24</f>
        <v>1476395008</v>
      </c>
      <c r="G89" s="67" t="n">
        <f aca="false">($D$24)*2*(1)*$B$24*$C$24</f>
        <v>1476395008</v>
      </c>
      <c r="H89" s="67" t="n">
        <f aca="false">($D$24)*2*(1)*$B$24*$C$24</f>
        <v>1476395008</v>
      </c>
      <c r="I89" s="2"/>
    </row>
    <row r="90" customFormat="false" ht="17.15" hidden="false" customHeight="false" outlineLevel="0" collapsed="false">
      <c r="A90" s="30" t="s">
        <v>339</v>
      </c>
      <c r="B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C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D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E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F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G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H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I90" s="2"/>
    </row>
    <row r="91" customFormat="false" ht="17.15" hidden="false" customHeight="false" outlineLevel="0" collapsed="false">
      <c r="A91" s="30" t="s">
        <v>340</v>
      </c>
      <c r="B91" s="68" t="n">
        <f aca="false">MAX(B89/$I$24,B90/설정!$B$60)*1000</f>
        <v>7.46858917647059</v>
      </c>
      <c r="C91" s="68" t="n">
        <f aca="false">MAX(C89/$I$24,C90/설정!$B$60)*1000</f>
        <v>7.46858917647059</v>
      </c>
      <c r="D91" s="68" t="n">
        <f aca="false">MAX(D89/$I$24,D90/설정!$B$60)*1000</f>
        <v>7.46858917647059</v>
      </c>
      <c r="E91" s="68" t="n">
        <f aca="false">MAX(E89/$I$24,E90/설정!$B$60)*1000</f>
        <v>7.46858917647059</v>
      </c>
      <c r="F91" s="68" t="n">
        <f aca="false">MAX(F89/$I$24,F90/설정!$B$60)*1000</f>
        <v>7.46858917647059</v>
      </c>
      <c r="G91" s="68" t="n">
        <f aca="false">MAX(G89/$I$24,G90/설정!$B$60)*1000</f>
        <v>7.46858917647059</v>
      </c>
      <c r="H91" s="68" t="n">
        <f aca="false">MAX(H89/$I$24,H90/설정!$B$60)*1000</f>
        <v>7.46858917647059</v>
      </c>
      <c r="I91" s="2"/>
    </row>
    <row r="92" customFormat="false" ht="17.15" hidden="false" customHeight="false" outlineLevel="0" collapsed="false">
      <c r="A92" s="30" t="s">
        <v>341</v>
      </c>
      <c r="B92" s="67" t="n">
        <f aca="false">B28*(B28+1)/2</f>
        <v>8256</v>
      </c>
      <c r="C92" s="67" t="n">
        <f aca="false">C28*(C28+1)/2</f>
        <v>32896</v>
      </c>
      <c r="D92" s="67" t="n">
        <f aca="false">D28*(D28+1)/2</f>
        <v>131328</v>
      </c>
      <c r="E92" s="67" t="n">
        <f aca="false">E28*(E28+1)/2</f>
        <v>524800</v>
      </c>
      <c r="F92" s="67" t="n">
        <f aca="false">F28*(F28+1)/2</f>
        <v>2098176</v>
      </c>
      <c r="G92" s="67" t="n">
        <f aca="false">G28*(G28+1)/2</f>
        <v>8390656</v>
      </c>
      <c r="H92" s="67" t="n">
        <f aca="false">H28*(H28+1)/2</f>
        <v>33558528</v>
      </c>
      <c r="I92" s="2"/>
    </row>
    <row r="93" customFormat="false" ht="17.15" hidden="false" customHeight="false" outlineLevel="0" collapsed="false">
      <c r="A93" s="30" t="s">
        <v>342</v>
      </c>
      <c r="B93" s="67" t="n">
        <f aca="false">모델!$E$12*4*모델!$E$13*모델!$E$15*B92</f>
        <v>1352663040</v>
      </c>
      <c r="C93" s="67" t="n">
        <f aca="false">모델!$E$12*4*모델!$E$13*모델!$E$15*C92</f>
        <v>5389680640</v>
      </c>
      <c r="D93" s="67" t="n">
        <f aca="false">모델!$E$12*4*모델!$E$13*모델!$E$15*D92</f>
        <v>21516779520</v>
      </c>
      <c r="E93" s="67" t="n">
        <f aca="false">모델!$E$12*4*모델!$E$13*모델!$E$15*E92</f>
        <v>85983232000</v>
      </c>
      <c r="F93" s="67" t="n">
        <f aca="false">모델!$E$12*4*모델!$E$13*모델!$E$15*F92</f>
        <v>343765155840</v>
      </c>
      <c r="G93" s="67" t="n">
        <f aca="false">모델!$E$12*4*모델!$E$13*모델!$E$15*G92</f>
        <v>1374725079040</v>
      </c>
      <c r="H93" s="67" t="n">
        <f aca="false">모델!$E$12*4*모델!$E$13*모델!$E$15*H92</f>
        <v>5498229227520</v>
      </c>
      <c r="I93" s="2"/>
    </row>
    <row r="94" customFormat="false" ht="17.15" hidden="false" customHeight="false" outlineLevel="0" collapsed="false">
      <c r="A94" s="30" t="s">
        <v>343</v>
      </c>
      <c r="B94" s="67" t="n">
        <f aca="false">모델!$E$12*(2*B28*모델!$E$13*모델!$E$15*설정!$B$57+B28*2*모델!$E$14*모델!$E$15*설정!$B$58*MAX(1,ROUNDUP(B28*(모델!$E$13/MAX(1,모델!$E$14))*모델!$E$15*설정!$B$57/설정!$B$61,0)))</f>
        <v>11796480</v>
      </c>
      <c r="C94" s="67" t="n">
        <f aca="false">모델!$E$12*(2*C28*모델!$E$13*모델!$E$15*설정!$B$57+C28*2*모델!$E$14*모델!$E$15*설정!$B$58*MAX(1,ROUNDUP(C28*(모델!$E$13/MAX(1,모델!$E$14))*모델!$E$15*설정!$B$57/설정!$B$61,0)))</f>
        <v>23592960</v>
      </c>
      <c r="D94" s="67" t="n">
        <f aca="false">모델!$E$12*(2*D28*모델!$E$13*모델!$E$15*설정!$B$57+D28*2*모델!$E$14*모델!$E$15*설정!$B$58*MAX(1,ROUNDUP(D28*(모델!$E$13/MAX(1,모델!$E$14))*모델!$E$15*설정!$B$57/설정!$B$61,0)))</f>
        <v>52428800</v>
      </c>
      <c r="E94" s="67" t="n">
        <f aca="false">모델!$E$12*(2*E28*모델!$E$13*모델!$E$15*설정!$B$57+E28*2*모델!$E$14*모델!$E$15*설정!$B$58*MAX(1,ROUNDUP(E28*(모델!$E$13/MAX(1,모델!$E$14))*모델!$E$15*설정!$B$57/설정!$B$61,0)))</f>
        <v>115343360</v>
      </c>
      <c r="F94" s="67" t="n">
        <f aca="false">모델!$E$12*(2*F28*모델!$E$13*모델!$E$15*설정!$B$57+F28*2*모델!$E$14*모델!$E$15*설정!$B$58*MAX(1,ROUNDUP(F28*(모델!$E$13/MAX(1,모델!$E$14))*모델!$E$15*설정!$B$57/설정!$B$61,0)))</f>
        <v>272629760</v>
      </c>
      <c r="G94" s="67" t="n">
        <f aca="false">모델!$E$12*(2*G28*모델!$E$13*모델!$E$15*설정!$B$57+G28*2*모델!$E$14*모델!$E$15*설정!$B$58*MAX(1,ROUNDUP(G28*(모델!$E$13/MAX(1,모델!$E$14))*모델!$E$15*설정!$B$57/설정!$B$61,0)))</f>
        <v>754974720</v>
      </c>
      <c r="H94" s="67" t="n">
        <f aca="false">모델!$E$12*(2*H28*모델!$E$13*모델!$E$15*설정!$B$57+H28*2*모델!$E$14*모델!$E$15*설정!$B$58*MAX(1,ROUNDUP(H28*(모델!$E$13/MAX(1,모델!$E$14))*모델!$E$15*설정!$B$57/설정!$B$61,0)))</f>
        <v>2348810240</v>
      </c>
      <c r="I94" s="2"/>
    </row>
    <row r="95" customFormat="false" ht="17.15" hidden="false" customHeight="false" outlineLevel="0" collapsed="false">
      <c r="A95" s="30" t="s">
        <v>344</v>
      </c>
      <c r="B95" s="68" t="n">
        <f aca="false">MAX(B93/설정!$B$68,B94/설정!$B$60)*1000</f>
        <v>0.231303529411765</v>
      </c>
      <c r="C95" s="68" t="n">
        <f aca="false">MAX(C93/설정!$B$68,C94/설정!$B$60)*1000</f>
        <v>0.462607058823529</v>
      </c>
      <c r="D95" s="68" t="n">
        <f aca="false">MAX(D93/설정!$B$68,D94/설정!$B$60)*1000</f>
        <v>1.02801568627451</v>
      </c>
      <c r="E95" s="68" t="n">
        <f aca="false">MAX(E93/설정!$B$68,E94/설정!$B$60)*1000</f>
        <v>3.58263466666667</v>
      </c>
      <c r="F95" s="68" t="n">
        <f aca="false">MAX(F93/설정!$B$68,F94/설정!$B$60)*1000</f>
        <v>14.32354816</v>
      </c>
      <c r="G95" s="68" t="n">
        <f aca="false">MAX(G93/설정!$B$68,G94/설정!$B$60)*1000</f>
        <v>57.2802116266667</v>
      </c>
      <c r="H95" s="68" t="n">
        <f aca="false">MAX(H93/설정!$B$68,H94/설정!$B$60)*1000</f>
        <v>229.09288448</v>
      </c>
      <c r="I95" s="2"/>
    </row>
    <row r="96" customFormat="false" ht="17.15" hidden="false" customHeight="false" outlineLevel="0" collapsed="false">
      <c r="A96" s="30" t="s">
        <v>345</v>
      </c>
      <c r="B96" s="67" t="n">
        <f aca="false">IF(B28&lt;=모델!$E$20,B28*(B28+1)/2,모델!$E$20*(모델!$E$20+1)/2+(B28-모델!$E$20)*모델!$E$20)</f>
        <v>8256</v>
      </c>
      <c r="C96" s="67" t="n">
        <f aca="false">IF(C28&lt;=모델!$E$20,C28*(C28+1)/2,모델!$E$20*(모델!$E$20+1)/2+(C28-모델!$E$20)*모델!$E$20)</f>
        <v>32896</v>
      </c>
      <c r="D96" s="67" t="n">
        <f aca="false">IF(D28&lt;=모델!$E$20,D28*(D28+1)/2,모델!$E$20*(모델!$E$20+1)/2+(D28-모델!$E$20)*모델!$E$20)</f>
        <v>131328</v>
      </c>
      <c r="E96" s="67" t="n">
        <f aca="false">IF(E28&lt;=모델!$E$20,E28*(E28+1)/2,모델!$E$20*(모델!$E$20+1)/2+(E28-모델!$E$20)*모델!$E$20)</f>
        <v>524800</v>
      </c>
      <c r="F96" s="67" t="n">
        <f aca="false">IF(F28&lt;=모델!$E$20,F28*(F28+1)/2,모델!$E$20*(모델!$E$20+1)/2+(F28-모델!$E$20)*모델!$E$20)</f>
        <v>1573376</v>
      </c>
      <c r="G96" s="67" t="n">
        <f aca="false">IF(G28&lt;=모델!$E$20,G28*(G28+1)/2,모델!$E$20*(모델!$E$20+1)/2+(G28-모델!$E$20)*모델!$E$20)</f>
        <v>3670528</v>
      </c>
      <c r="H96" s="67" t="n">
        <f aca="false">IF(H28&lt;=모델!$E$20,H28*(H28+1)/2,모델!$E$20*(모델!$E$20+1)/2+(H28-모델!$E$20)*모델!$E$20)</f>
        <v>7864832</v>
      </c>
      <c r="I96" s="2"/>
    </row>
    <row r="97" customFormat="false" ht="17.15" hidden="false" customHeight="false" outlineLevel="0" collapsed="false">
      <c r="A97" s="30" t="s">
        <v>346</v>
      </c>
      <c r="B97" s="67" t="n">
        <f aca="false">모델!$E$19*4*모델!$E$21*모델!$E$23*B96</f>
        <v>3381657600</v>
      </c>
      <c r="C97" s="67" t="n">
        <f aca="false">모델!$E$19*4*모델!$E$21*모델!$E$23*C96</f>
        <v>13474201600</v>
      </c>
      <c r="D97" s="67" t="n">
        <f aca="false">모델!$E$19*4*모델!$E$21*모델!$E$23*D96</f>
        <v>53791948800</v>
      </c>
      <c r="E97" s="67" t="n">
        <f aca="false">모델!$E$19*4*모델!$E$21*모델!$E$23*E96</f>
        <v>214958080000</v>
      </c>
      <c r="F97" s="67" t="n">
        <f aca="false">모델!$E$19*4*모델!$E$21*모델!$E$23*F96</f>
        <v>644454809600</v>
      </c>
      <c r="G97" s="67" t="n">
        <f aca="false">모델!$E$19*4*모델!$E$21*모델!$E$23*G96</f>
        <v>1503448268800</v>
      </c>
      <c r="H97" s="67" t="n">
        <f aca="false">모델!$E$19*4*모델!$E$21*모델!$E$23*H96</f>
        <v>3221435187200</v>
      </c>
      <c r="I97" s="2"/>
    </row>
    <row r="98" customFormat="false" ht="17.15" hidden="false" customHeight="false" outlineLevel="0" collapsed="false">
      <c r="A98" s="30" t="s">
        <v>347</v>
      </c>
      <c r="B98" s="67" t="n">
        <f aca="false">모델!$E$19*(2*B28*모델!$E$21*모델!$E$23*설정!$B$57+B28*2*모델!$E$22*모델!$E$23*설정!$B$58*MAX(1,ROUNDUP(MIN(B28,모델!$E$20)*(모델!$E$21/MAX(1,모델!$E$22))*모델!$E$23*설정!$B$57/설정!$B$61,0)))</f>
        <v>39321600</v>
      </c>
      <c r="C98" s="67" t="n">
        <f aca="false">모델!$E$19*(2*C28*모델!$E$21*모델!$E$23*설정!$B$57+C28*2*모델!$E$22*모델!$E$23*설정!$B$58*MAX(1,ROUNDUP(MIN(C28,모델!$E$20)*(모델!$E$21/MAX(1,모델!$E$22))*모델!$E$23*설정!$B$57/설정!$B$61,0)))</f>
        <v>78643200</v>
      </c>
      <c r="D98" s="67" t="n">
        <f aca="false">모델!$E$19*(2*D28*모델!$E$21*모델!$E$23*설정!$B$57+D28*2*모델!$E$22*모델!$E$23*설정!$B$58*MAX(1,ROUNDUP(MIN(D28,모델!$E$20)*(모델!$E$21/MAX(1,모델!$E$22))*모델!$E$23*설정!$B$57/설정!$B$61,0)))</f>
        <v>157286400</v>
      </c>
      <c r="E98" s="67" t="n">
        <f aca="false">모델!$E$19*(2*E28*모델!$E$21*모델!$E$23*설정!$B$57+E28*2*모델!$E$22*모델!$E$23*설정!$B$58*MAX(1,ROUNDUP(MIN(E28,모델!$E$20)*(모델!$E$21/MAX(1,모델!$E$22))*모델!$E$23*설정!$B$57/설정!$B$61,0)))</f>
        <v>314572800</v>
      </c>
      <c r="F98" s="67" t="n">
        <f aca="false">모델!$E$19*(2*F28*모델!$E$21*모델!$E$23*설정!$B$57+F28*2*모델!$E$22*모델!$E$23*설정!$B$58*MAX(1,ROUNDUP(MIN(F28,모델!$E$20)*(모델!$E$21/MAX(1,모델!$E$22))*모델!$E$23*설정!$B$57/설정!$B$61,0)))</f>
        <v>629145600</v>
      </c>
      <c r="G98" s="67" t="n">
        <f aca="false">모델!$E$19*(2*G28*모델!$E$21*모델!$E$23*설정!$B$57+G28*2*모델!$E$22*모델!$E$23*설정!$B$58*MAX(1,ROUNDUP(MIN(G28,모델!$E$20)*(모델!$E$21/MAX(1,모델!$E$22))*모델!$E$23*설정!$B$57/설정!$B$61,0)))</f>
        <v>1258291200</v>
      </c>
      <c r="H98" s="67" t="n">
        <f aca="false">모델!$E$19*(2*H28*모델!$E$21*모델!$E$23*설정!$B$57+H28*2*모델!$E$22*모델!$E$23*설정!$B$58*MAX(1,ROUNDUP(MIN(H28,모델!$E$20)*(모델!$E$21/MAX(1,모델!$E$22))*모델!$E$23*설정!$B$57/설정!$B$61,0)))</f>
        <v>2516582400</v>
      </c>
      <c r="I98" s="2"/>
    </row>
    <row r="99" customFormat="false" ht="17.15" hidden="false" customHeight="false" outlineLevel="0" collapsed="false">
      <c r="A99" s="30" t="s">
        <v>348</v>
      </c>
      <c r="B99" s="68" t="n">
        <f aca="false">MAX(B97/설정!$B$68,B98/설정!$B$60)*1000</f>
        <v>0.771011764705882</v>
      </c>
      <c r="C99" s="68" t="n">
        <f aca="false">MAX(C97/설정!$B$68,C98/설정!$B$60)*1000</f>
        <v>1.54202352941176</v>
      </c>
      <c r="D99" s="68" t="n">
        <f aca="false">MAX(D97/설정!$B$68,D98/설정!$B$60)*1000</f>
        <v>3.08404705882353</v>
      </c>
      <c r="E99" s="68" t="n">
        <f aca="false">MAX(E97/설정!$B$68,E98/설정!$B$60)*1000</f>
        <v>8.95658666666667</v>
      </c>
      <c r="F99" s="68" t="n">
        <f aca="false">MAX(F97/설정!$B$68,F98/설정!$B$60)*1000</f>
        <v>26.8522837333333</v>
      </c>
      <c r="G99" s="68" t="n">
        <f aca="false">MAX(G97/설정!$B$68,G98/설정!$B$60)*1000</f>
        <v>62.6436778666667</v>
      </c>
      <c r="H99" s="68" t="n">
        <f aca="false">MAX(H97/설정!$B$68,H98/설정!$B$60)*1000</f>
        <v>134.226466133333</v>
      </c>
      <c r="I99" s="2"/>
    </row>
    <row r="100" customFormat="false" ht="17.15" hidden="false" customHeight="false" outlineLevel="0" collapsed="false">
      <c r="A100" s="30" t="s">
        <v>349</v>
      </c>
      <c r="B100" s="69" t="n">
        <f aca="false">IF(모델!$E$26&gt;0,ROUNDUP(B28/MAX(1,모델!$E$32),0)*모델!$E$32,0)</f>
        <v>0</v>
      </c>
      <c r="C100" s="69" t="n">
        <f aca="false">IF(모델!$E$26&gt;0,ROUNDUP(C28/MAX(1,모델!$E$32),0)*모델!$E$32,0)</f>
        <v>0</v>
      </c>
      <c r="D100" s="69" t="n">
        <f aca="false">IF(모델!$E$26&gt;0,ROUNDUP(D28/MAX(1,모델!$E$32),0)*모델!$E$32,0)</f>
        <v>0</v>
      </c>
      <c r="E100" s="69" t="n">
        <f aca="false">IF(모델!$E$26&gt;0,ROUNDUP(E28/MAX(1,모델!$E$32),0)*모델!$E$32,0)</f>
        <v>0</v>
      </c>
      <c r="F100" s="69" t="n">
        <f aca="false">IF(모델!$E$26&gt;0,ROUNDUP(F28/MAX(1,모델!$E$32),0)*모델!$E$32,0)</f>
        <v>0</v>
      </c>
      <c r="G100" s="69" t="n">
        <f aca="false">IF(모델!$E$26&gt;0,ROUNDUP(G28/MAX(1,모델!$E$32),0)*모델!$E$32,0)</f>
        <v>0</v>
      </c>
      <c r="H100" s="69" t="n">
        <f aca="false">IF(모델!$E$26&gt;0,ROUNDUP(H28/MAX(1,모델!$E$32),0)*모델!$E$32,0)</f>
        <v>0</v>
      </c>
      <c r="I100" s="2"/>
    </row>
    <row r="101" customFormat="false" ht="17.15" hidden="false" customHeight="false" outlineLevel="0" collapsed="false">
      <c r="A101" s="30" t="s">
        <v>350</v>
      </c>
      <c r="B101" s="67" t="n">
        <f aca="false">모델!$E$26*B100*모델!$E$29*(6*모델!$E$32*모델!$E$28+4*모델!$E$32*모델!$E$30+6*모델!$E$28*모델!$E$30)</f>
        <v>0</v>
      </c>
      <c r="C101" s="67" t="n">
        <f aca="false">모델!$E$26*C100*모델!$E$29*(6*모델!$E$32*모델!$E$28+4*모델!$E$32*모델!$E$30+6*모델!$E$28*모델!$E$30)</f>
        <v>0</v>
      </c>
      <c r="D101" s="67" t="n">
        <f aca="false">모델!$E$26*D100*모델!$E$29*(6*모델!$E$32*모델!$E$28+4*모델!$E$32*모델!$E$30+6*모델!$E$28*모델!$E$30)</f>
        <v>0</v>
      </c>
      <c r="E101" s="67" t="n">
        <f aca="false">모델!$E$26*E100*모델!$E$29*(6*모델!$E$32*모델!$E$28+4*모델!$E$32*모델!$E$30+6*모델!$E$28*모델!$E$30)</f>
        <v>0</v>
      </c>
      <c r="F101" s="67" t="n">
        <f aca="false">모델!$E$26*F100*모델!$E$29*(6*모델!$E$32*모델!$E$28+4*모델!$E$32*모델!$E$30+6*모델!$E$28*모델!$E$30)</f>
        <v>0</v>
      </c>
      <c r="G101" s="67" t="n">
        <f aca="false">모델!$E$26*G100*모델!$E$29*(6*모델!$E$32*모델!$E$28+4*모델!$E$32*모델!$E$30+6*모델!$E$28*모델!$E$30)</f>
        <v>0</v>
      </c>
      <c r="H101" s="67" t="n">
        <f aca="false">모델!$E$26*H100*모델!$E$29*(6*모델!$E$32*모델!$E$28+4*모델!$E$32*모델!$E$30+6*모델!$E$28*모델!$E$30)</f>
        <v>0</v>
      </c>
      <c r="I101" s="2"/>
    </row>
    <row r="102" customFormat="false" ht="17.15" hidden="false" customHeight="false" outlineLevel="0" collapsed="false">
      <c r="A102" s="30" t="s">
        <v>351</v>
      </c>
      <c r="B102" s="67" t="n">
        <f aca="false">모델!$E$26*(B28*(모델!$E$52+2*모델!$E$29)*설정!$B$57+B28*모델!$E$29*모델!$E$30*설정!$B$57+모델!$E$29*모델!$E$28*모델!$E$30*설정!$B$59)</f>
        <v>0</v>
      </c>
      <c r="C102" s="67" t="n">
        <f aca="false">모델!$E$26*(C28*(모델!$E$52+2*모델!$E$29)*설정!$B$57+C28*모델!$E$29*모델!$E$30*설정!$B$57+모델!$E$29*모델!$E$28*모델!$E$30*설정!$B$59)</f>
        <v>0</v>
      </c>
      <c r="D102" s="67" t="n">
        <f aca="false">모델!$E$26*(D28*(모델!$E$52+2*모델!$E$29)*설정!$B$57+D28*모델!$E$29*모델!$E$30*설정!$B$57+모델!$E$29*모델!$E$28*모델!$E$30*설정!$B$59)</f>
        <v>0</v>
      </c>
      <c r="E102" s="67" t="n">
        <f aca="false">모델!$E$26*(E28*(모델!$E$52+2*모델!$E$29)*설정!$B$57+E28*모델!$E$29*모델!$E$30*설정!$B$57+모델!$E$29*모델!$E$28*모델!$E$30*설정!$B$59)</f>
        <v>0</v>
      </c>
      <c r="F102" s="67" t="n">
        <f aca="false">모델!$E$26*(F28*(모델!$E$52+2*모델!$E$29)*설정!$B$57+F28*모델!$E$29*모델!$E$30*설정!$B$57+모델!$E$29*모델!$E$28*모델!$E$30*설정!$B$59)</f>
        <v>0</v>
      </c>
      <c r="G102" s="67" t="n">
        <f aca="false">모델!$E$26*(G28*(모델!$E$52+2*모델!$E$29)*설정!$B$57+G28*모델!$E$29*모델!$E$30*설정!$B$57+모델!$E$29*모델!$E$28*모델!$E$30*설정!$B$59)</f>
        <v>0</v>
      </c>
      <c r="H102" s="67" t="n">
        <f aca="false">모델!$E$26*(H28*(모델!$E$52+2*모델!$E$29)*설정!$B$57+H28*모델!$E$29*모델!$E$30*설정!$B$57+모델!$E$29*모델!$E$28*모델!$E$30*설정!$B$59)</f>
        <v>0</v>
      </c>
      <c r="I102" s="2"/>
    </row>
    <row r="103" customFormat="false" ht="17.15" hidden="false" customHeight="false" outlineLevel="0" collapsed="false">
      <c r="A103" s="30" t="s">
        <v>352</v>
      </c>
      <c r="B103" s="68" t="n">
        <f aca="false">MAX(B101/설정!$B$69,B102/설정!$B$60)*1000</f>
        <v>0</v>
      </c>
      <c r="C103" s="68" t="n">
        <f aca="false">MAX(C101/설정!$B$69,C102/설정!$B$60)*1000</f>
        <v>0</v>
      </c>
      <c r="D103" s="68" t="n">
        <f aca="false">MAX(D101/설정!$B$69,D102/설정!$B$60)*1000</f>
        <v>0</v>
      </c>
      <c r="E103" s="68" t="n">
        <f aca="false">MAX(E101/설정!$B$69,E102/설정!$B$60)*1000</f>
        <v>0</v>
      </c>
      <c r="F103" s="68" t="n">
        <f aca="false">MAX(F101/설정!$B$69,F102/설정!$B$60)*1000</f>
        <v>0</v>
      </c>
      <c r="G103" s="68" t="n">
        <f aca="false">MAX(G101/설정!$B$69,G102/설정!$B$60)*1000</f>
        <v>0</v>
      </c>
      <c r="H103" s="68" t="n">
        <f aca="false">MAX(H101/설정!$B$69,H102/설정!$B$60)*1000</f>
        <v>0</v>
      </c>
      <c r="I103" s="2"/>
    </row>
    <row r="104" customFormat="false" ht="17.15" hidden="false" customHeight="false" outlineLevel="0" collapsed="false">
      <c r="A104" s="30" t="s">
        <v>353</v>
      </c>
      <c r="B104" s="68" t="n">
        <f aca="false">모델!$E$49*IF(설정!$B$40="CPU",설정!$B$41/1000+((B28)*모델!$E$36*설정!$B$43/8+(B28)*모델!$E$37*설정!$B$44)/(설정!$B$42*1000000000)*1000+(B28)*모델!$E$36*설정!$B$45/1000000,설정!$B$46/1000)</f>
        <v>4.099776</v>
      </c>
      <c r="C104" s="68" t="n">
        <f aca="false">모델!$E$49*IF(설정!$B$40="CPU",설정!$B$41/1000+((C28)*모델!$E$36*설정!$B$43/8+(C28)*모델!$E$37*설정!$B$44)/(설정!$B$42*1000000000)*1000+(C28)*모델!$E$36*설정!$B$45/1000000,설정!$B$46/1000)</f>
        <v>5.199552</v>
      </c>
      <c r="D104" s="68" t="n">
        <f aca="false">모델!$E$49*IF(설정!$B$40="CPU",설정!$B$41/1000+((D28)*모델!$E$36*설정!$B$43/8+(D28)*모델!$E$37*설정!$B$44)/(설정!$B$42*1000000000)*1000+(D28)*모델!$E$36*설정!$B$45/1000000,설정!$B$46/1000)</f>
        <v>7.399104</v>
      </c>
      <c r="E104" s="68" t="n">
        <f aca="false">모델!$E$49*IF(설정!$B$40="CPU",설정!$B$41/1000+((E28)*모델!$E$36*설정!$B$43/8+(E28)*모델!$E$37*설정!$B$44)/(설정!$B$42*1000000000)*1000+(E28)*모델!$E$36*설정!$B$45/1000000,설정!$B$46/1000)</f>
        <v>11.798208</v>
      </c>
      <c r="F104" s="68" t="n">
        <f aca="false">모델!$E$49*IF(설정!$B$40="CPU",설정!$B$41/1000+((F28)*모델!$E$36*설정!$B$43/8+(F28)*모델!$E$37*설정!$B$44)/(설정!$B$42*1000000000)*1000+(F28)*모델!$E$36*설정!$B$45/1000000,설정!$B$46/1000)</f>
        <v>20.596416</v>
      </c>
      <c r="G104" s="68" t="n">
        <f aca="false">모델!$E$49*IF(설정!$B$40="CPU",설정!$B$41/1000+((G28)*모델!$E$36*설정!$B$43/8+(G28)*모델!$E$37*설정!$B$44)/(설정!$B$42*1000000000)*1000+(G28)*모델!$E$36*설정!$B$45/1000000,설정!$B$46/1000)</f>
        <v>38.192832</v>
      </c>
      <c r="H104" s="68" t="n">
        <f aca="false">모델!$E$49*IF(설정!$B$40="CPU",설정!$B$41/1000+((H28)*모델!$E$36*설정!$B$43/8+(H28)*모델!$E$37*설정!$B$44)/(설정!$B$42*1000000000)*1000+(H28)*모델!$E$36*설정!$B$45/1000000,설정!$B$46/1000)</f>
        <v>73.385664</v>
      </c>
      <c r="I104" s="2"/>
    </row>
    <row r="105" customFormat="false" ht="17.15" hidden="false" customHeight="false" outlineLevel="0" collapsed="false">
      <c r="A105" s="33" t="s">
        <v>354</v>
      </c>
      <c r="B105" s="64" t="n">
        <f aca="false">B34+B37+B40+B43+B46+B49+B52+B55+B58+B61+B64+B67+B70+B73+B76+B79+B82+B85+B88+B91</f>
        <v>264.656845404698</v>
      </c>
      <c r="C105" s="64" t="n">
        <f aca="false">C34+C37+C40+C43+C46+C49+C52+C55+C58+C61+C64+C67+C70+C73+C76+C79+C82+C85+C88+C91</f>
        <v>286.998449735079</v>
      </c>
      <c r="D105" s="64" t="n">
        <f aca="false">D34+D37+D40+D43+D46+D49+D52+D55+D58+D61+D64+D67+D70+D73+D76+D79+D82+D85+D88+D91</f>
        <v>335.118388806273</v>
      </c>
      <c r="E105" s="64" t="n">
        <f aca="false">E34+E37+E40+E43+E46+E49+E52+E55+E58+E61+E64+E67+E70+E73+E76+E79+E82+E85+E88+E91</f>
        <v>431.654099024314</v>
      </c>
      <c r="F105" s="64" t="n">
        <f aca="false">F34+F37+F40+F43+F46+F49+F52+F55+F58+F61+F64+F67+F70+F73+F76+F79+F82+F85+F88+F91</f>
        <v>624.725519460392</v>
      </c>
      <c r="G105" s="64" t="n">
        <f aca="false">G34+G37+G40+G43+G46+G49+G52+G55+G58+G61+G64+G67+G70+G73+G76+G79+G82+G85+G88+G91</f>
        <v>1063.6328588549</v>
      </c>
      <c r="H105" s="64" t="n">
        <f aca="false">H34+H37+H40+H43+H46+H49+H52+H55+H58+H61+H64+H67+H70+H73+H76+H79+H82+H85+H88+H91</f>
        <v>2119.58178735686</v>
      </c>
      <c r="I105" s="2"/>
    </row>
    <row r="106" customFormat="false" ht="17.15" hidden="false" customHeight="false" outlineLevel="0" collapsed="false">
      <c r="A106" s="33" t="s">
        <v>355</v>
      </c>
      <c r="B106" s="64" t="n">
        <f aca="false">B95+B99+B103</f>
        <v>1.00231529411765</v>
      </c>
      <c r="C106" s="64" t="n">
        <f aca="false">C95+C99+C103</f>
        <v>2.00463058823529</v>
      </c>
      <c r="D106" s="64" t="n">
        <f aca="false">D95+D99+D103</f>
        <v>4.11206274509804</v>
      </c>
      <c r="E106" s="64" t="n">
        <f aca="false">E95+E99+E103</f>
        <v>12.5392213333333</v>
      </c>
      <c r="F106" s="64" t="n">
        <f aca="false">F95+F99+F103</f>
        <v>41.1758318933333</v>
      </c>
      <c r="G106" s="64" t="n">
        <f aca="false">G95+G99+G103</f>
        <v>119.923889493333</v>
      </c>
      <c r="H106" s="64" t="n">
        <f aca="false">H95+H99+H103</f>
        <v>363.319350613333</v>
      </c>
      <c r="I106" s="2"/>
    </row>
    <row r="107" customFormat="false" ht="17.15" hidden="false" customHeight="false" outlineLevel="0" collapsed="false">
      <c r="A107" s="33" t="s">
        <v>356</v>
      </c>
      <c r="B107" s="64" t="n">
        <f aca="false">(B32/$I$5+B35/$I$6+B38/$I$7+B41/$I$8+B44/$I$9+B47/$I$10+B50/$I$11+B53/$I$12+B56/$I$13+B59/$I$14+B62/$I$15+B65/$I$16+B68/$I$17+B71/$I$18+B74/$I$19+B77/$I$20+B80/$I$21+B83/$I$22+B86/$I$23+B89/$I$24+(B93+B97)/설정!$B$68+B101/설정!$B$69)*1000</f>
        <v>33.150861312</v>
      </c>
      <c r="C107" s="64" t="n">
        <f aca="false">(C32/$I$5+C35/$I$6+C38/$I$7+C41/$I$8+C44/$I$9+C47/$I$10+C50/$I$11+C53/$I$12+C56/$I$13+C59/$I$14+C62/$I$15+C65/$I$16+C68/$I$17+C71/$I$18+C74/$I$19+C77/$I$20+C80/$I$21+C83/$I$22+C86/$I$23+C89/$I$24+(C93+C97)/설정!$B$68+C101/설정!$B$69)*1000</f>
        <v>66.6316745386667</v>
      </c>
      <c r="D107" s="64" t="n">
        <f aca="false">(D32/$I$5+D35/$I$6+D38/$I$7+D41/$I$8+D44/$I$9+D47/$I$10+D50/$I$11+D53/$I$12+D56/$I$13+D59/$I$14+D62/$I$15+D65/$I$16+D68/$I$17+D71/$I$18+D74/$I$19+D77/$I$20+D80/$I$21+D83/$I$22+D86/$I$23+D89/$I$24+(D93+D97)/설정!$B$68+D101/설정!$B$69)*1000</f>
        <v>134.767706112</v>
      </c>
      <c r="E107" s="64" t="n">
        <f aca="false">(E32/$I$5+E35/$I$6+E38/$I$7+E41/$I$8+E44/$I$9+E47/$I$10+E50/$I$11+E53/$I$12+E56/$I$13+E59/$I$14+E62/$I$15+E65/$I$16+E68/$I$17+E71/$I$18+E74/$I$19+E77/$I$20+E80/$I$21+E83/$I$22+E86/$I$23+E89/$I$24+(E93+E97)/설정!$B$68+E101/설정!$B$69)*1000</f>
        <v>275.737389738667</v>
      </c>
      <c r="F107" s="64" t="n">
        <f aca="false">(F32/$I$5+F35/$I$6+F38/$I$7+F41/$I$8+F44/$I$9+F47/$I$10+F50/$I$11+F53/$I$12+F56/$I$13+F59/$I$14+F62/$I$15+F65/$I$16+F68/$I$17+F71/$I$18+F74/$I$19+F77/$I$20+F80/$I$21+F83/$I$22+F86/$I$23+F89/$I$24+(F93+F97)/설정!$B$68+F101/설정!$B$69)*1000</f>
        <v>567.510652245333</v>
      </c>
      <c r="G107" s="64" t="n">
        <f aca="false">(G32/$I$5+G35/$I$6+G38/$I$7+G41/$I$8+G44/$I$9+G47/$I$10+G50/$I$11+G53/$I$12+G56/$I$13+G59/$I$14+G62/$I$15+G65/$I$16+G68/$I$17+G71/$I$18+G74/$I$19+G77/$I$20+G80/$I$21+G83/$I$22+G86/$I$23+G89/$I$24+(G93+G97)/설정!$B$68+G101/설정!$B$69)*1000</f>
        <v>1172.53201373867</v>
      </c>
      <c r="H107" s="64" t="n">
        <f aca="false">(H32/$I$5+H35/$I$6+H38/$I$7+H41/$I$8+H44/$I$9+H47/$I$10+H50/$I$11+H53/$I$12+H56/$I$13+H59/$I$14+H62/$I$15+H65/$I$16+H68/$I$17+H71/$I$18+H74/$I$19+H77/$I$20+H80/$I$21+H83/$I$22+H86/$I$23+H89/$I$24+(H93+H97)/설정!$B$68+H101/설정!$B$69)*1000</f>
        <v>2468.47408264533</v>
      </c>
      <c r="I107" s="2"/>
    </row>
    <row r="108" customFormat="false" ht="17.15" hidden="false" customHeight="false" outlineLevel="0" collapsed="false">
      <c r="A108" s="33" t="s">
        <v>357</v>
      </c>
      <c r="B108" s="68" t="n">
        <f aca="false">(B33+B36+B39+B42+B45+B48+B51+B54+B57+B60+B63+B66+B69+B72+B75+B78+B81+B84+B87+B90+B94+B98+B102)/1000000000</f>
        <v>13.5486171956396</v>
      </c>
      <c r="C108" s="68" t="n">
        <f aca="false">(C33+C36+C39+C42+C45+C48+C51+C54+C57+C60+C63+C66+C69+C72+C75+C78+C81+C84+C87+C90+C94+C98+C102)/1000000000</f>
        <v>14.146644461609</v>
      </c>
      <c r="D108" s="68" t="n">
        <f aca="false">(D33+D36+D39+D42+D45+D48+D51+D54+D57+D60+D63+D66+D69+D72+D75+D78+D81+D84+D87+D90+D94+D98+D102)/1000000000</f>
        <v>15.4310689279999</v>
      </c>
      <c r="E108" s="68" t="n">
        <f aca="false">(E33+E36+E39+E42+E45+E48+E51+E54+E57+E60+E63+E66+E69+E72+E75+E78+E81+E84+E87+E90+E94+E98+E102)/1000000000</f>
        <v>18.446707968</v>
      </c>
      <c r="F108" s="68" t="n">
        <f aca="false">(F33+F36+F39+F42+F45+F48+F51+F54+F57+F60+F63+F66+F69+F72+F75+F78+F81+F84+F87+F90+F94+F98+F102)/1000000000</f>
        <v>24.173325568</v>
      </c>
      <c r="G108" s="68" t="n">
        <f aca="false">(G33+G36+G39+G42+G45+G48+G51+G54+G57+G60+G63+G66+G69+G72+G75+G78+G81+G84+G87+G90+G94+G98+G102)/1000000000</f>
        <v>35.668503808</v>
      </c>
      <c r="H108" s="68" t="n">
        <f aca="false">(H33+H36+H39+H42+H45+H48+H51+H54+H57+H60+H63+H66+H69+H72+H75+H78+H81+H84+H87+H90+H94+H98+H102)/1000000000</f>
        <v>59.278667008</v>
      </c>
      <c r="I108" s="2"/>
    </row>
    <row r="109" customFormat="false" ht="17.15" hidden="false" customHeight="false" outlineLevel="0" collapsed="false">
      <c r="A109" s="33" t="s">
        <v>358</v>
      </c>
      <c r="B109" s="64" t="n">
        <f aca="false">B108*1000000000/설정!$B$60*1000</f>
        <v>265.659160698815</v>
      </c>
      <c r="C109" s="64" t="n">
        <f aca="false">C108*1000000000/설정!$B$60*1000</f>
        <v>277.385185521746</v>
      </c>
      <c r="D109" s="64" t="n">
        <f aca="false">D108*1000000000/설정!$B$60*1000</f>
        <v>302.569978980391</v>
      </c>
      <c r="E109" s="64" t="n">
        <f aca="false">E108*1000000000/설정!$B$60*1000</f>
        <v>361.700156235294</v>
      </c>
      <c r="F109" s="64" t="n">
        <f aca="false">F108*1000000000/설정!$B$60*1000</f>
        <v>473.986775843137</v>
      </c>
      <c r="G109" s="64" t="n">
        <f aca="false">G108*1000000000/설정!$B$60*1000</f>
        <v>699.382427607843</v>
      </c>
      <c r="H109" s="64" t="n">
        <f aca="false">H108*1000000000/설정!$B$60*1000</f>
        <v>1162.32680407843</v>
      </c>
      <c r="I109" s="2"/>
    </row>
    <row r="110" customFormat="false" ht="15" hidden="false" customHeight="false" outlineLevel="0" collapsed="false">
      <c r="A110" s="33" t="s">
        <v>359</v>
      </c>
      <c r="B110" s="70" t="str">
        <f aca="false">IF(B107&gt;B109,"연산","메모리")</f>
        <v>메모리</v>
      </c>
      <c r="C110" s="70" t="str">
        <f aca="false">IF(C107&gt;C109,"연산","메모리")</f>
        <v>메모리</v>
      </c>
      <c r="D110" s="70" t="str">
        <f aca="false">IF(D107&gt;D109,"연산","메모리")</f>
        <v>메모리</v>
      </c>
      <c r="E110" s="70" t="str">
        <f aca="false">IF(E107&gt;E109,"연산","메모리")</f>
        <v>메모리</v>
      </c>
      <c r="F110" s="70" t="str">
        <f aca="false">IF(F107&gt;F109,"연산","메모리")</f>
        <v>연산</v>
      </c>
      <c r="G110" s="70" t="str">
        <f aca="false">IF(G107&gt;G109,"연산","메모리")</f>
        <v>연산</v>
      </c>
      <c r="H110" s="70" t="str">
        <f aca="false">IF(H107&gt;H109,"연산","메모리")</f>
        <v>연산</v>
      </c>
      <c r="I110" s="2"/>
    </row>
    <row r="111" customFormat="false" ht="15" hidden="false" customHeight="false" outlineLevel="0" collapsed="false">
      <c r="A111" s="16" t="s">
        <v>14</v>
      </c>
      <c r="B111" s="71" t="n">
        <f aca="false">(B105+B106)*(1+설정!$B$14)+B104+설정!$B$15</f>
        <v>296.324852768697</v>
      </c>
      <c r="C111" s="71" t="n">
        <f aca="false">(C105+C106)*(1+설정!$B$14)+C104+설정!$B$15</f>
        <v>323.102940355646</v>
      </c>
      <c r="D111" s="71" t="n">
        <f aca="false">(D105+D106)*(1+설정!$B$14)+D104+설정!$B$15</f>
        <v>380.552600706509</v>
      </c>
      <c r="E111" s="71" t="n">
        <f aca="false">(E105+E106)*(1+설정!$B$14)+E104+설정!$B$15</f>
        <v>500.410860393412</v>
      </c>
      <c r="F111" s="71" t="n">
        <f aca="false">(F105+F106)*(1+설정!$B$14)+F104+설정!$B$15</f>
        <v>753.087902489098</v>
      </c>
      <c r="G111" s="71" t="n">
        <f aca="false">(G105+G106)*(1+설정!$B$14)+G104+설정!$B$15</f>
        <v>1340.10525518306</v>
      </c>
      <c r="H111" s="71" t="n">
        <f aca="false">(H105+H106)*(1+설정!$B$14)+H104+설정!$B$15</f>
        <v>2804.57691576722</v>
      </c>
      <c r="I111" s="2"/>
    </row>
    <row r="112" customFormat="false" ht="17.15" hidden="false" customHeight="false" outlineLevel="0" collapsed="false">
      <c r="A112" s="30" t="s">
        <v>360</v>
      </c>
      <c r="B112" s="72" t="n">
        <f aca="false">IF(B111&gt;0,B104/B111,0)</f>
        <v>0.0138354105694947</v>
      </c>
      <c r="C112" s="72" t="n">
        <f aca="false">IF(C111&gt;0,C104/C111,0)</f>
        <v>0.0160925555003515</v>
      </c>
      <c r="D112" s="72" t="n">
        <f aca="false">IF(D111&gt;0,D104/D111,0)</f>
        <v>0.0194430519887745</v>
      </c>
      <c r="E112" s="72" t="n">
        <f aca="false">IF(E111&gt;0,E104/E111,0)</f>
        <v>0.0235770422542878</v>
      </c>
      <c r="F112" s="72" t="n">
        <f aca="false">IF(F111&gt;0,F104/F111,0)</f>
        <v>0.0273492854312557</v>
      </c>
      <c r="G112" s="72" t="n">
        <f aca="false">IF(G111&gt;0,G104/G111,0)</f>
        <v>0.0284998748063135</v>
      </c>
      <c r="H112" s="72" t="n">
        <f aca="false">IF(H111&gt;0,H104/H111,0)</f>
        <v>0.0261663937927424</v>
      </c>
      <c r="I112" s="2"/>
    </row>
    <row r="113" customFormat="false" ht="17.15" hidden="false" customHeight="false" outlineLevel="0" collapsed="false">
      <c r="A113" s="30" t="s">
        <v>361</v>
      </c>
      <c r="B113" s="72" t="n">
        <f aca="false">IF(B111&gt;0,B103*(1+설정!$B$14)/B111,0)</f>
        <v>0</v>
      </c>
      <c r="C113" s="72" t="n">
        <f aca="false">IF(C111&gt;0,C103*(1+설정!$B$14)/C111,0)</f>
        <v>0</v>
      </c>
      <c r="D113" s="72" t="n">
        <f aca="false">IF(D111&gt;0,D103*(1+설정!$B$14)/D111,0)</f>
        <v>0</v>
      </c>
      <c r="E113" s="72" t="n">
        <f aca="false">IF(E111&gt;0,E103*(1+설정!$B$14)/E111,0)</f>
        <v>0</v>
      </c>
      <c r="F113" s="72" t="n">
        <f aca="false">IF(F111&gt;0,F103*(1+설정!$B$14)/F111,0)</f>
        <v>0</v>
      </c>
      <c r="G113" s="72" t="n">
        <f aca="false">IF(G111&gt;0,G103*(1+설정!$B$14)/G111,0)</f>
        <v>0</v>
      </c>
      <c r="H113" s="72" t="n">
        <f aca="false">IF(H111&gt;0,H103*(1+설정!$B$14)/H111,0)</f>
        <v>0</v>
      </c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7.15" hidden="false" customHeight="false" outlineLevel="0" collapsed="false">
      <c r="A115" s="28" t="s">
        <v>362</v>
      </c>
      <c r="B115" s="29"/>
      <c r="C115" s="29"/>
      <c r="D115" s="29"/>
      <c r="E115" s="29"/>
      <c r="F115" s="29"/>
      <c r="G115" s="29"/>
      <c r="H115" s="29"/>
      <c r="I115" s="29"/>
    </row>
    <row r="116" customFormat="false" ht="15" hidden="false" customHeight="false" outlineLevel="0" collapsed="false">
      <c r="A116" s="7" t="s">
        <v>363</v>
      </c>
      <c r="B116" s="73" t="n">
        <f aca="false">설정!$B$54+설정!$B$51*설정!$B$52</f>
        <v>256</v>
      </c>
      <c r="C116" s="73" t="n">
        <f aca="false">설정!$C$54+설정!$B$51*설정!$B$52</f>
        <v>384</v>
      </c>
      <c r="D116" s="73" t="n">
        <f aca="false">설정!$D$54+설정!$B$51*설정!$B$52</f>
        <v>640</v>
      </c>
      <c r="E116" s="73" t="n">
        <f aca="false">설정!$E$54+설정!$B$51*설정!$B$52</f>
        <v>1152</v>
      </c>
      <c r="F116" s="73" t="n">
        <f aca="false">설정!$F$54+설정!$B$51*설정!$B$52</f>
        <v>2176</v>
      </c>
      <c r="G116" s="73" t="n">
        <f aca="false">설정!$G$54+설정!$B$51*설정!$B$52</f>
        <v>4224</v>
      </c>
      <c r="H116" s="73" t="n">
        <f aca="false">설정!$H$54+설정!$B$51*설정!$B$52</f>
        <v>8320</v>
      </c>
      <c r="I116" s="2"/>
    </row>
    <row r="117" customFormat="false" ht="17.15" hidden="false" customHeight="false" outlineLevel="0" collapsed="false">
      <c r="A117" s="30" t="s">
        <v>281</v>
      </c>
      <c r="B117" s="67" t="n">
        <f aca="false">($D$5)*2*(1)*$B$5*$C$5</f>
        <v>230686720</v>
      </c>
      <c r="C117" s="67" t="n">
        <f aca="false">($D$5)*2*(1)*$B$5*$C$5</f>
        <v>230686720</v>
      </c>
      <c r="D117" s="67" t="n">
        <f aca="false">($D$5)*2*(1)*$B$5*$C$5</f>
        <v>230686720</v>
      </c>
      <c r="E117" s="67" t="n">
        <f aca="false">($D$5)*2*(1)*$B$5*$C$5</f>
        <v>230686720</v>
      </c>
      <c r="F117" s="67" t="n">
        <f aca="false">($D$5)*2*(1)*$B$5*$C$5</f>
        <v>230686720</v>
      </c>
      <c r="G117" s="67" t="n">
        <f aca="false">($D$5)*2*(1)*$B$5*$C$5</f>
        <v>230686720</v>
      </c>
      <c r="H117" s="67" t="n">
        <f aca="false">($D$5)*2*(1)*$B$5*$C$5</f>
        <v>230686720</v>
      </c>
      <c r="I117" s="2"/>
    </row>
    <row r="118" customFormat="false" ht="17.15" hidden="false" customHeight="false" outlineLevel="0" collapsed="false">
      <c r="A118" s="30" t="s">
        <v>282</v>
      </c>
      <c r="B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59528960</v>
      </c>
      <c r="C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59528960</v>
      </c>
      <c r="D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59528960</v>
      </c>
      <c r="E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59528960</v>
      </c>
      <c r="F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59528960</v>
      </c>
      <c r="G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59528960</v>
      </c>
      <c r="H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59528960</v>
      </c>
      <c r="I118" s="2"/>
    </row>
    <row r="119" customFormat="false" ht="17.15" hidden="false" customHeight="false" outlineLevel="0" collapsed="false">
      <c r="A119" s="30" t="s">
        <v>283</v>
      </c>
      <c r="B119" s="68" t="n">
        <f aca="false">MAX(B117/$I$5,B118/설정!$B$60)*1000</f>
        <v>1.16723450980392</v>
      </c>
      <c r="C119" s="68" t="n">
        <f aca="false">MAX(C117/$I$5,C118/설정!$B$60)*1000</f>
        <v>1.16723450980392</v>
      </c>
      <c r="D119" s="68" t="n">
        <f aca="false">MAX(D117/$I$5,D118/설정!$B$60)*1000</f>
        <v>1.16723450980392</v>
      </c>
      <c r="E119" s="68" t="n">
        <f aca="false">MAX(E117/$I$5,E118/설정!$B$60)*1000</f>
        <v>1.16723450980392</v>
      </c>
      <c r="F119" s="68" t="n">
        <f aca="false">MAX(F117/$I$5,F118/설정!$B$60)*1000</f>
        <v>1.16723450980392</v>
      </c>
      <c r="G119" s="68" t="n">
        <f aca="false">MAX(G117/$I$5,G118/설정!$B$60)*1000</f>
        <v>1.16723450980392</v>
      </c>
      <c r="H119" s="68" t="n">
        <f aca="false">MAX(H117/$I$5,H118/설정!$B$60)*1000</f>
        <v>1.16723450980392</v>
      </c>
      <c r="I119" s="2"/>
    </row>
    <row r="120" customFormat="false" ht="17.15" hidden="false" customHeight="false" outlineLevel="0" collapsed="false">
      <c r="A120" s="30" t="s">
        <v>284</v>
      </c>
      <c r="B120" s="67" t="n">
        <f aca="false">($D$6)*2*(1)*$B$6*$C$6</f>
        <v>28835840</v>
      </c>
      <c r="C120" s="67" t="n">
        <f aca="false">($D$6)*2*(1)*$B$6*$C$6</f>
        <v>28835840</v>
      </c>
      <c r="D120" s="67" t="n">
        <f aca="false">($D$6)*2*(1)*$B$6*$C$6</f>
        <v>28835840</v>
      </c>
      <c r="E120" s="67" t="n">
        <f aca="false">($D$6)*2*(1)*$B$6*$C$6</f>
        <v>28835840</v>
      </c>
      <c r="F120" s="67" t="n">
        <f aca="false">($D$6)*2*(1)*$B$6*$C$6</f>
        <v>28835840</v>
      </c>
      <c r="G120" s="67" t="n">
        <f aca="false">($D$6)*2*(1)*$B$6*$C$6</f>
        <v>28835840</v>
      </c>
      <c r="H120" s="67" t="n">
        <f aca="false">($D$6)*2*(1)*$B$6*$C$6</f>
        <v>28835840</v>
      </c>
      <c r="I120" s="2"/>
    </row>
    <row r="121" customFormat="false" ht="17.15" hidden="false" customHeight="false" outlineLevel="0" collapsed="false">
      <c r="A121" s="30" t="s">
        <v>285</v>
      </c>
      <c r="B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7453440</v>
      </c>
      <c r="C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7453440</v>
      </c>
      <c r="D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7453440</v>
      </c>
      <c r="E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7453440</v>
      </c>
      <c r="F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7453440</v>
      </c>
      <c r="G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7453440</v>
      </c>
      <c r="H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7453440</v>
      </c>
      <c r="I121" s="2"/>
    </row>
    <row r="122" customFormat="false" ht="17.15" hidden="false" customHeight="false" outlineLevel="0" collapsed="false">
      <c r="A122" s="30" t="s">
        <v>286</v>
      </c>
      <c r="B122" s="68" t="n">
        <f aca="false">MAX(B120/$I$6,B121/설정!$B$60)*1000</f>
        <v>0.146145882352941</v>
      </c>
      <c r="C122" s="68" t="n">
        <f aca="false">MAX(C120/$I$6,C121/설정!$B$60)*1000</f>
        <v>0.146145882352941</v>
      </c>
      <c r="D122" s="68" t="n">
        <f aca="false">MAX(D120/$I$6,D121/설정!$B$60)*1000</f>
        <v>0.146145882352941</v>
      </c>
      <c r="E122" s="68" t="n">
        <f aca="false">MAX(E120/$I$6,E121/설정!$B$60)*1000</f>
        <v>0.146145882352941</v>
      </c>
      <c r="F122" s="68" t="n">
        <f aca="false">MAX(F120/$I$6,F121/설정!$B$60)*1000</f>
        <v>0.146145882352941</v>
      </c>
      <c r="G122" s="68" t="n">
        <f aca="false">MAX(G120/$I$6,G121/설정!$B$60)*1000</f>
        <v>0.146145882352941</v>
      </c>
      <c r="H122" s="68" t="n">
        <f aca="false">MAX(H120/$I$6,H121/설정!$B$60)*1000</f>
        <v>0.146145882352941</v>
      </c>
      <c r="I122" s="2"/>
    </row>
    <row r="123" customFormat="false" ht="17.15" hidden="false" customHeight="false" outlineLevel="0" collapsed="false">
      <c r="A123" s="30" t="s">
        <v>287</v>
      </c>
      <c r="B123" s="67" t="n">
        <f aca="false">($D$7)*2*(1)*$B$7*$C$7</f>
        <v>0</v>
      </c>
      <c r="C123" s="67" t="n">
        <f aca="false">($D$7)*2*(1)*$B$7*$C$7</f>
        <v>0</v>
      </c>
      <c r="D123" s="67" t="n">
        <f aca="false">($D$7)*2*(1)*$B$7*$C$7</f>
        <v>0</v>
      </c>
      <c r="E123" s="67" t="n">
        <f aca="false">($D$7)*2*(1)*$B$7*$C$7</f>
        <v>0</v>
      </c>
      <c r="F123" s="67" t="n">
        <f aca="false">($D$7)*2*(1)*$B$7*$C$7</f>
        <v>0</v>
      </c>
      <c r="G123" s="67" t="n">
        <f aca="false">($D$7)*2*(1)*$B$7*$C$7</f>
        <v>0</v>
      </c>
      <c r="H123" s="67" t="n">
        <f aca="false">($D$7)*2*(1)*$B$7*$C$7</f>
        <v>0</v>
      </c>
      <c r="I123" s="2"/>
    </row>
    <row r="124" customFormat="false" ht="17.15" hidden="false" customHeight="false" outlineLevel="0" collapsed="false">
      <c r="A124" s="30" t="s">
        <v>288</v>
      </c>
      <c r="B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0</v>
      </c>
      <c r="C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0</v>
      </c>
      <c r="D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0</v>
      </c>
      <c r="E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0</v>
      </c>
      <c r="F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0</v>
      </c>
      <c r="G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0</v>
      </c>
      <c r="H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0</v>
      </c>
      <c r="I124" s="2"/>
    </row>
    <row r="125" customFormat="false" ht="17.15" hidden="false" customHeight="false" outlineLevel="0" collapsed="false">
      <c r="A125" s="30" t="s">
        <v>289</v>
      </c>
      <c r="B125" s="68" t="n">
        <f aca="false">MAX(B123/$I$7,B124/설정!$B$60)*1000</f>
        <v>0</v>
      </c>
      <c r="C125" s="68" t="n">
        <f aca="false">MAX(C123/$I$7,C124/설정!$B$60)*1000</f>
        <v>0</v>
      </c>
      <c r="D125" s="68" t="n">
        <f aca="false">MAX(D123/$I$7,D124/설정!$B$60)*1000</f>
        <v>0</v>
      </c>
      <c r="E125" s="68" t="n">
        <f aca="false">MAX(E123/$I$7,E124/설정!$B$60)*1000</f>
        <v>0</v>
      </c>
      <c r="F125" s="68" t="n">
        <f aca="false">MAX(F123/$I$7,F124/설정!$B$60)*1000</f>
        <v>0</v>
      </c>
      <c r="G125" s="68" t="n">
        <f aca="false">MAX(G123/$I$7,G124/설정!$B$60)*1000</f>
        <v>0</v>
      </c>
      <c r="H125" s="68" t="n">
        <f aca="false">MAX(H123/$I$7,H124/설정!$B$60)*1000</f>
        <v>0</v>
      </c>
      <c r="I125" s="2"/>
    </row>
    <row r="126" customFormat="false" ht="17.15" hidden="false" customHeight="false" outlineLevel="0" collapsed="false">
      <c r="A126" s="30" t="s">
        <v>290</v>
      </c>
      <c r="B126" s="67" t="n">
        <f aca="false">($D$8)*2*(1)*$B$8*$C$8</f>
        <v>230686720</v>
      </c>
      <c r="C126" s="67" t="n">
        <f aca="false">($D$8)*2*(1)*$B$8*$C$8</f>
        <v>230686720</v>
      </c>
      <c r="D126" s="67" t="n">
        <f aca="false">($D$8)*2*(1)*$B$8*$C$8</f>
        <v>230686720</v>
      </c>
      <c r="E126" s="67" t="n">
        <f aca="false">($D$8)*2*(1)*$B$8*$C$8</f>
        <v>230686720</v>
      </c>
      <c r="F126" s="67" t="n">
        <f aca="false">($D$8)*2*(1)*$B$8*$C$8</f>
        <v>230686720</v>
      </c>
      <c r="G126" s="67" t="n">
        <f aca="false">($D$8)*2*(1)*$B$8*$C$8</f>
        <v>230686720</v>
      </c>
      <c r="H126" s="67" t="n">
        <f aca="false">($D$8)*2*(1)*$B$8*$C$8</f>
        <v>230686720</v>
      </c>
      <c r="I126" s="2"/>
    </row>
    <row r="127" customFormat="false" ht="17.15" hidden="false" customHeight="false" outlineLevel="0" collapsed="false">
      <c r="A127" s="30" t="s">
        <v>291</v>
      </c>
      <c r="B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59528960</v>
      </c>
      <c r="C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59528960</v>
      </c>
      <c r="D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59528960</v>
      </c>
      <c r="E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59528960</v>
      </c>
      <c r="F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59528960</v>
      </c>
      <c r="G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59528960</v>
      </c>
      <c r="H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59528960</v>
      </c>
      <c r="I127" s="2"/>
    </row>
    <row r="128" customFormat="false" ht="17.15" hidden="false" customHeight="false" outlineLevel="0" collapsed="false">
      <c r="A128" s="30" t="s">
        <v>292</v>
      </c>
      <c r="B128" s="68" t="n">
        <f aca="false">MAX(B126/$I$8,B127/설정!$B$60)*1000</f>
        <v>1.16723450980392</v>
      </c>
      <c r="C128" s="68" t="n">
        <f aca="false">MAX(C126/$I$8,C127/설정!$B$60)*1000</f>
        <v>1.16723450980392</v>
      </c>
      <c r="D128" s="68" t="n">
        <f aca="false">MAX(D126/$I$8,D127/설정!$B$60)*1000</f>
        <v>1.16723450980392</v>
      </c>
      <c r="E128" s="68" t="n">
        <f aca="false">MAX(E126/$I$8,E127/설정!$B$60)*1000</f>
        <v>1.16723450980392</v>
      </c>
      <c r="F128" s="68" t="n">
        <f aca="false">MAX(F126/$I$8,F127/설정!$B$60)*1000</f>
        <v>1.16723450980392</v>
      </c>
      <c r="G128" s="68" t="n">
        <f aca="false">MAX(G126/$I$8,G127/설정!$B$60)*1000</f>
        <v>1.16723450980392</v>
      </c>
      <c r="H128" s="68" t="n">
        <f aca="false">MAX(H126/$I$8,H127/설정!$B$60)*1000</f>
        <v>1.16723450980392</v>
      </c>
      <c r="I128" s="2"/>
    </row>
    <row r="129" customFormat="false" ht="17.15" hidden="false" customHeight="false" outlineLevel="0" collapsed="false">
      <c r="A129" s="30" t="s">
        <v>293</v>
      </c>
      <c r="B129" s="67" t="n">
        <f aca="false">($D$9)*2*(1)*$B$9*$C$9</f>
        <v>576716800</v>
      </c>
      <c r="C129" s="67" t="n">
        <f aca="false">($D$9)*2*(1)*$B$9*$C$9</f>
        <v>576716800</v>
      </c>
      <c r="D129" s="67" t="n">
        <f aca="false">($D$9)*2*(1)*$B$9*$C$9</f>
        <v>576716800</v>
      </c>
      <c r="E129" s="67" t="n">
        <f aca="false">($D$9)*2*(1)*$B$9*$C$9</f>
        <v>576716800</v>
      </c>
      <c r="F129" s="67" t="n">
        <f aca="false">($D$9)*2*(1)*$B$9*$C$9</f>
        <v>576716800</v>
      </c>
      <c r="G129" s="67" t="n">
        <f aca="false">($D$9)*2*(1)*$B$9*$C$9</f>
        <v>576716800</v>
      </c>
      <c r="H129" s="67" t="n">
        <f aca="false">($D$9)*2*(1)*$B$9*$C$9</f>
        <v>576716800</v>
      </c>
      <c r="I129" s="2"/>
    </row>
    <row r="130" customFormat="false" ht="17.15" hidden="false" customHeight="false" outlineLevel="0" collapsed="false">
      <c r="A130" s="30" t="s">
        <v>294</v>
      </c>
      <c r="B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148857600</v>
      </c>
      <c r="C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148857600</v>
      </c>
      <c r="D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148857600</v>
      </c>
      <c r="E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148857600</v>
      </c>
      <c r="F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148857600</v>
      </c>
      <c r="G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148857600</v>
      </c>
      <c r="H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148857600</v>
      </c>
      <c r="I130" s="2"/>
    </row>
    <row r="131" customFormat="false" ht="17.15" hidden="false" customHeight="false" outlineLevel="0" collapsed="false">
      <c r="A131" s="30" t="s">
        <v>295</v>
      </c>
      <c r="B131" s="68" t="n">
        <f aca="false">MAX(B129/$I$9,B130/설정!$B$60)*1000</f>
        <v>2.91877647058824</v>
      </c>
      <c r="C131" s="68" t="n">
        <f aca="false">MAX(C129/$I$9,C130/설정!$B$60)*1000</f>
        <v>2.91877647058824</v>
      </c>
      <c r="D131" s="68" t="n">
        <f aca="false">MAX(D129/$I$9,D130/설정!$B$60)*1000</f>
        <v>2.91877647058824</v>
      </c>
      <c r="E131" s="68" t="n">
        <f aca="false">MAX(E129/$I$9,E130/설정!$B$60)*1000</f>
        <v>2.91877647058824</v>
      </c>
      <c r="F131" s="68" t="n">
        <f aca="false">MAX(F129/$I$9,F130/설정!$B$60)*1000</f>
        <v>2.91877647058824</v>
      </c>
      <c r="G131" s="68" t="n">
        <f aca="false">MAX(G129/$I$9,G130/설정!$B$60)*1000</f>
        <v>2.91877647058824</v>
      </c>
      <c r="H131" s="68" t="n">
        <f aca="false">MAX(H129/$I$9,H130/설정!$B$60)*1000</f>
        <v>2.91877647058824</v>
      </c>
      <c r="I131" s="2"/>
    </row>
    <row r="132" customFormat="false" ht="17.15" hidden="false" customHeight="false" outlineLevel="0" collapsed="false">
      <c r="A132" s="30" t="s">
        <v>296</v>
      </c>
      <c r="B132" s="67" t="n">
        <f aca="false">($D$10)*2*(1)*$B$10*$C$10</f>
        <v>288358400</v>
      </c>
      <c r="C132" s="67" t="n">
        <f aca="false">($D$10)*2*(1)*$B$10*$C$10</f>
        <v>288358400</v>
      </c>
      <c r="D132" s="67" t="n">
        <f aca="false">($D$10)*2*(1)*$B$10*$C$10</f>
        <v>288358400</v>
      </c>
      <c r="E132" s="67" t="n">
        <f aca="false">($D$10)*2*(1)*$B$10*$C$10</f>
        <v>288358400</v>
      </c>
      <c r="F132" s="67" t="n">
        <f aca="false">($D$10)*2*(1)*$B$10*$C$10</f>
        <v>288358400</v>
      </c>
      <c r="G132" s="67" t="n">
        <f aca="false">($D$10)*2*(1)*$B$10*$C$10</f>
        <v>288358400</v>
      </c>
      <c r="H132" s="67" t="n">
        <f aca="false">($D$10)*2*(1)*$B$10*$C$10</f>
        <v>288358400</v>
      </c>
      <c r="I132" s="2"/>
    </row>
    <row r="133" customFormat="false" ht="17.15" hidden="false" customHeight="false" outlineLevel="0" collapsed="false">
      <c r="A133" s="30" t="s">
        <v>297</v>
      </c>
      <c r="B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74464000</v>
      </c>
      <c r="C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74464000</v>
      </c>
      <c r="D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74464000</v>
      </c>
      <c r="E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74464000</v>
      </c>
      <c r="F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74464000</v>
      </c>
      <c r="G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74464000</v>
      </c>
      <c r="H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74464000</v>
      </c>
      <c r="I133" s="2"/>
    </row>
    <row r="134" customFormat="false" ht="17.15" hidden="false" customHeight="false" outlineLevel="0" collapsed="false">
      <c r="A134" s="30" t="s">
        <v>298</v>
      </c>
      <c r="B134" s="68" t="n">
        <f aca="false">MAX(B132/$I$10,B133/설정!$B$60)*1000</f>
        <v>1.46007843137255</v>
      </c>
      <c r="C134" s="68" t="n">
        <f aca="false">MAX(C132/$I$10,C133/설정!$B$60)*1000</f>
        <v>1.46007843137255</v>
      </c>
      <c r="D134" s="68" t="n">
        <f aca="false">MAX(D132/$I$10,D133/설정!$B$60)*1000</f>
        <v>1.46007843137255</v>
      </c>
      <c r="E134" s="68" t="n">
        <f aca="false">MAX(E132/$I$10,E133/설정!$B$60)*1000</f>
        <v>1.46007843137255</v>
      </c>
      <c r="F134" s="68" t="n">
        <f aca="false">MAX(F132/$I$10,F133/설정!$B$60)*1000</f>
        <v>1.46007843137255</v>
      </c>
      <c r="G134" s="68" t="n">
        <f aca="false">MAX(G132/$I$10,G133/설정!$B$60)*1000</f>
        <v>1.46007843137255</v>
      </c>
      <c r="H134" s="68" t="n">
        <f aca="false">MAX(H132/$I$10,H133/설정!$B$60)*1000</f>
        <v>1.46007843137255</v>
      </c>
      <c r="I134" s="2"/>
    </row>
    <row r="135" customFormat="false" ht="17.15" hidden="false" customHeight="false" outlineLevel="0" collapsed="false">
      <c r="A135" s="30" t="s">
        <v>299</v>
      </c>
      <c r="B135" s="67" t="n">
        <f aca="false">($D$11)*2*(1)*$B$11*$C$11</f>
        <v>288358400</v>
      </c>
      <c r="C135" s="67" t="n">
        <f aca="false">($D$11)*2*(1)*$B$11*$C$11</f>
        <v>288358400</v>
      </c>
      <c r="D135" s="67" t="n">
        <f aca="false">($D$11)*2*(1)*$B$11*$C$11</f>
        <v>288358400</v>
      </c>
      <c r="E135" s="67" t="n">
        <f aca="false">($D$11)*2*(1)*$B$11*$C$11</f>
        <v>288358400</v>
      </c>
      <c r="F135" s="67" t="n">
        <f aca="false">($D$11)*2*(1)*$B$11*$C$11</f>
        <v>288358400</v>
      </c>
      <c r="G135" s="67" t="n">
        <f aca="false">($D$11)*2*(1)*$B$11*$C$11</f>
        <v>288358400</v>
      </c>
      <c r="H135" s="67" t="n">
        <f aca="false">($D$11)*2*(1)*$B$11*$C$11</f>
        <v>288358400</v>
      </c>
      <c r="I135" s="2"/>
    </row>
    <row r="136" customFormat="false" ht="17.15" hidden="false" customHeight="false" outlineLevel="0" collapsed="false">
      <c r="A136" s="30" t="s">
        <v>300</v>
      </c>
      <c r="B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74464000</v>
      </c>
      <c r="C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74464000</v>
      </c>
      <c r="D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74464000</v>
      </c>
      <c r="E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74464000</v>
      </c>
      <c r="F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74464000</v>
      </c>
      <c r="G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74464000</v>
      </c>
      <c r="H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74464000</v>
      </c>
      <c r="I136" s="2"/>
    </row>
    <row r="137" customFormat="false" ht="17.15" hidden="false" customHeight="false" outlineLevel="0" collapsed="false">
      <c r="A137" s="30" t="s">
        <v>301</v>
      </c>
      <c r="B137" s="68" t="n">
        <f aca="false">MAX(B135/$I$11,B136/설정!$B$60)*1000</f>
        <v>1.46007843137255</v>
      </c>
      <c r="C137" s="68" t="n">
        <f aca="false">MAX(C135/$I$11,C136/설정!$B$60)*1000</f>
        <v>1.46007843137255</v>
      </c>
      <c r="D137" s="68" t="n">
        <f aca="false">MAX(D135/$I$11,D136/설정!$B$60)*1000</f>
        <v>1.46007843137255</v>
      </c>
      <c r="E137" s="68" t="n">
        <f aca="false">MAX(E135/$I$11,E136/설정!$B$60)*1000</f>
        <v>1.46007843137255</v>
      </c>
      <c r="F137" s="68" t="n">
        <f aca="false">MAX(F135/$I$11,F136/설정!$B$60)*1000</f>
        <v>1.46007843137255</v>
      </c>
      <c r="G137" s="68" t="n">
        <f aca="false">MAX(G135/$I$11,G136/설정!$B$60)*1000</f>
        <v>1.46007843137255</v>
      </c>
      <c r="H137" s="68" t="n">
        <f aca="false">MAX(H135/$I$11,H136/설정!$B$60)*1000</f>
        <v>1.46007843137255</v>
      </c>
      <c r="I137" s="2"/>
    </row>
    <row r="138" customFormat="false" ht="17.15" hidden="false" customHeight="false" outlineLevel="0" collapsed="false">
      <c r="A138" s="30" t="s">
        <v>302</v>
      </c>
      <c r="B138" s="67" t="n">
        <f aca="false">($D$12)*2*(1)*$B$12*$C$12</f>
        <v>576716800</v>
      </c>
      <c r="C138" s="67" t="n">
        <f aca="false">($D$12)*2*(1)*$B$12*$C$12</f>
        <v>576716800</v>
      </c>
      <c r="D138" s="67" t="n">
        <f aca="false">($D$12)*2*(1)*$B$12*$C$12</f>
        <v>576716800</v>
      </c>
      <c r="E138" s="67" t="n">
        <f aca="false">($D$12)*2*(1)*$B$12*$C$12</f>
        <v>576716800</v>
      </c>
      <c r="F138" s="67" t="n">
        <f aca="false">($D$12)*2*(1)*$B$12*$C$12</f>
        <v>576716800</v>
      </c>
      <c r="G138" s="67" t="n">
        <f aca="false">($D$12)*2*(1)*$B$12*$C$12</f>
        <v>576716800</v>
      </c>
      <c r="H138" s="67" t="n">
        <f aca="false">($D$12)*2*(1)*$B$12*$C$12</f>
        <v>576716800</v>
      </c>
      <c r="I138" s="2"/>
    </row>
    <row r="139" customFormat="false" ht="17.15" hidden="false" customHeight="false" outlineLevel="0" collapsed="false">
      <c r="A139" s="30" t="s">
        <v>303</v>
      </c>
      <c r="B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148857600</v>
      </c>
      <c r="C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148857600</v>
      </c>
      <c r="D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148857600</v>
      </c>
      <c r="E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148857600</v>
      </c>
      <c r="F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148857600</v>
      </c>
      <c r="G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148857600</v>
      </c>
      <c r="H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148857600</v>
      </c>
      <c r="I139" s="2"/>
    </row>
    <row r="140" customFormat="false" ht="17.15" hidden="false" customHeight="false" outlineLevel="0" collapsed="false">
      <c r="A140" s="30" t="s">
        <v>304</v>
      </c>
      <c r="B140" s="68" t="n">
        <f aca="false">MAX(B138/$I$12,B139/설정!$B$60)*1000</f>
        <v>2.91877647058824</v>
      </c>
      <c r="C140" s="68" t="n">
        <f aca="false">MAX(C138/$I$12,C139/설정!$B$60)*1000</f>
        <v>2.91877647058824</v>
      </c>
      <c r="D140" s="68" t="n">
        <f aca="false">MAX(D138/$I$12,D139/설정!$B$60)*1000</f>
        <v>2.91877647058824</v>
      </c>
      <c r="E140" s="68" t="n">
        <f aca="false">MAX(E138/$I$12,E139/설정!$B$60)*1000</f>
        <v>2.91877647058824</v>
      </c>
      <c r="F140" s="68" t="n">
        <f aca="false">MAX(F138/$I$12,F139/설정!$B$60)*1000</f>
        <v>2.91877647058824</v>
      </c>
      <c r="G140" s="68" t="n">
        <f aca="false">MAX(G138/$I$12,G139/설정!$B$60)*1000</f>
        <v>2.91877647058824</v>
      </c>
      <c r="H140" s="68" t="n">
        <f aca="false">MAX(H138/$I$12,H139/설정!$B$60)*1000</f>
        <v>2.91877647058824</v>
      </c>
      <c r="I140" s="2"/>
    </row>
    <row r="141" customFormat="false" ht="17.15" hidden="false" customHeight="false" outlineLevel="0" collapsed="false">
      <c r="A141" s="30" t="s">
        <v>305</v>
      </c>
      <c r="B141" s="67" t="n">
        <f aca="false">($D$13)*2*(1)*$B$13*$C$13</f>
        <v>0</v>
      </c>
      <c r="C141" s="67" t="n">
        <f aca="false">($D$13)*2*(1)*$B$13*$C$13</f>
        <v>0</v>
      </c>
      <c r="D141" s="67" t="n">
        <f aca="false">($D$13)*2*(1)*$B$13*$C$13</f>
        <v>0</v>
      </c>
      <c r="E141" s="67" t="n">
        <f aca="false">($D$13)*2*(1)*$B$13*$C$13</f>
        <v>0</v>
      </c>
      <c r="F141" s="67" t="n">
        <f aca="false">($D$13)*2*(1)*$B$13*$C$13</f>
        <v>0</v>
      </c>
      <c r="G141" s="67" t="n">
        <f aca="false">($D$13)*2*(1)*$B$13*$C$13</f>
        <v>0</v>
      </c>
      <c r="H141" s="67" t="n">
        <f aca="false">($D$13)*2*(1)*$B$13*$C$13</f>
        <v>0</v>
      </c>
      <c r="I141" s="2"/>
    </row>
    <row r="142" customFormat="false" ht="17.15" hidden="false" customHeight="false" outlineLevel="0" collapsed="false">
      <c r="A142" s="30" t="s">
        <v>306</v>
      </c>
      <c r="B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C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D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E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F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G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H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I142" s="2"/>
    </row>
    <row r="143" customFormat="false" ht="17.15" hidden="false" customHeight="false" outlineLevel="0" collapsed="false">
      <c r="A143" s="30" t="s">
        <v>307</v>
      </c>
      <c r="B143" s="68" t="n">
        <f aca="false">MAX(B141/$I$13,B142/설정!$B$60)*1000</f>
        <v>0</v>
      </c>
      <c r="C143" s="68" t="n">
        <f aca="false">MAX(C141/$I$13,C142/설정!$B$60)*1000</f>
        <v>0</v>
      </c>
      <c r="D143" s="68" t="n">
        <f aca="false">MAX(D141/$I$13,D142/설정!$B$60)*1000</f>
        <v>0</v>
      </c>
      <c r="E143" s="68" t="n">
        <f aca="false">MAX(E141/$I$13,E142/설정!$B$60)*1000</f>
        <v>0</v>
      </c>
      <c r="F143" s="68" t="n">
        <f aca="false">MAX(F141/$I$13,F142/설정!$B$60)*1000</f>
        <v>0</v>
      </c>
      <c r="G143" s="68" t="n">
        <f aca="false">MAX(G141/$I$13,G142/설정!$B$60)*1000</f>
        <v>0</v>
      </c>
      <c r="H143" s="68" t="n">
        <f aca="false">MAX(H141/$I$13,H142/설정!$B$60)*1000</f>
        <v>0</v>
      </c>
      <c r="I143" s="2"/>
    </row>
    <row r="144" customFormat="false" ht="17.15" hidden="false" customHeight="false" outlineLevel="0" collapsed="false">
      <c r="A144" s="30" t="s">
        <v>308</v>
      </c>
      <c r="B144" s="67" t="n">
        <f aca="false">($D$14)*2*(1)*$B$14*$C$14</f>
        <v>0</v>
      </c>
      <c r="C144" s="67" t="n">
        <f aca="false">($D$14)*2*(1)*$B$14*$C$14</f>
        <v>0</v>
      </c>
      <c r="D144" s="67" t="n">
        <f aca="false">($D$14)*2*(1)*$B$14*$C$14</f>
        <v>0</v>
      </c>
      <c r="E144" s="67" t="n">
        <f aca="false">($D$14)*2*(1)*$B$14*$C$14</f>
        <v>0</v>
      </c>
      <c r="F144" s="67" t="n">
        <f aca="false">($D$14)*2*(1)*$B$14*$C$14</f>
        <v>0</v>
      </c>
      <c r="G144" s="67" t="n">
        <f aca="false">($D$14)*2*(1)*$B$14*$C$14</f>
        <v>0</v>
      </c>
      <c r="H144" s="67" t="n">
        <f aca="false">($D$14)*2*(1)*$B$14*$C$14</f>
        <v>0</v>
      </c>
      <c r="I144" s="2"/>
    </row>
    <row r="145" customFormat="false" ht="17.15" hidden="false" customHeight="false" outlineLevel="0" collapsed="false">
      <c r="A145" s="30" t="s">
        <v>309</v>
      </c>
      <c r="B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C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D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E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F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G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H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I145" s="2"/>
    </row>
    <row r="146" customFormat="false" ht="17.15" hidden="false" customHeight="false" outlineLevel="0" collapsed="false">
      <c r="A146" s="30" t="s">
        <v>310</v>
      </c>
      <c r="B146" s="68" t="n">
        <f aca="false">MAX(B144/$I$14,B145/설정!$B$60)*1000</f>
        <v>0</v>
      </c>
      <c r="C146" s="68" t="n">
        <f aca="false">MAX(C144/$I$14,C145/설정!$B$60)*1000</f>
        <v>0</v>
      </c>
      <c r="D146" s="68" t="n">
        <f aca="false">MAX(D144/$I$14,D145/설정!$B$60)*1000</f>
        <v>0</v>
      </c>
      <c r="E146" s="68" t="n">
        <f aca="false">MAX(E144/$I$14,E145/설정!$B$60)*1000</f>
        <v>0</v>
      </c>
      <c r="F146" s="68" t="n">
        <f aca="false">MAX(F144/$I$14,F145/설정!$B$60)*1000</f>
        <v>0</v>
      </c>
      <c r="G146" s="68" t="n">
        <f aca="false">MAX(G144/$I$14,G145/설정!$B$60)*1000</f>
        <v>0</v>
      </c>
      <c r="H146" s="68" t="n">
        <f aca="false">MAX(H144/$I$14,H145/설정!$B$60)*1000</f>
        <v>0</v>
      </c>
      <c r="I146" s="2"/>
    </row>
    <row r="147" customFormat="false" ht="17.15" hidden="false" customHeight="false" outlineLevel="0" collapsed="false">
      <c r="A147" s="30" t="s">
        <v>311</v>
      </c>
      <c r="B147" s="67" t="n">
        <f aca="false">($D$15)*2*(1)*$B$15*$C$15</f>
        <v>0</v>
      </c>
      <c r="C147" s="67" t="n">
        <f aca="false">($D$15)*2*(1)*$B$15*$C$15</f>
        <v>0</v>
      </c>
      <c r="D147" s="67" t="n">
        <f aca="false">($D$15)*2*(1)*$B$15*$C$15</f>
        <v>0</v>
      </c>
      <c r="E147" s="67" t="n">
        <f aca="false">($D$15)*2*(1)*$B$15*$C$15</f>
        <v>0</v>
      </c>
      <c r="F147" s="67" t="n">
        <f aca="false">($D$15)*2*(1)*$B$15*$C$15</f>
        <v>0</v>
      </c>
      <c r="G147" s="67" t="n">
        <f aca="false">($D$15)*2*(1)*$B$15*$C$15</f>
        <v>0</v>
      </c>
      <c r="H147" s="67" t="n">
        <f aca="false">($D$15)*2*(1)*$B$15*$C$15</f>
        <v>0</v>
      </c>
      <c r="I147" s="2"/>
    </row>
    <row r="148" customFormat="false" ht="17.15" hidden="false" customHeight="false" outlineLevel="0" collapsed="false">
      <c r="A148" s="30" t="s">
        <v>312</v>
      </c>
      <c r="B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C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D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E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F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G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H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I148" s="2"/>
    </row>
    <row r="149" customFormat="false" ht="17.15" hidden="false" customHeight="false" outlineLevel="0" collapsed="false">
      <c r="A149" s="30" t="s">
        <v>313</v>
      </c>
      <c r="B149" s="68" t="n">
        <f aca="false">MAX(B147/$I$15,B148/설정!$B$60)*1000</f>
        <v>0</v>
      </c>
      <c r="C149" s="68" t="n">
        <f aca="false">MAX(C147/$I$15,C148/설정!$B$60)*1000</f>
        <v>0</v>
      </c>
      <c r="D149" s="68" t="n">
        <f aca="false">MAX(D147/$I$15,D148/설정!$B$60)*1000</f>
        <v>0</v>
      </c>
      <c r="E149" s="68" t="n">
        <f aca="false">MAX(E147/$I$15,E148/설정!$B$60)*1000</f>
        <v>0</v>
      </c>
      <c r="F149" s="68" t="n">
        <f aca="false">MAX(F147/$I$15,F148/설정!$B$60)*1000</f>
        <v>0</v>
      </c>
      <c r="G149" s="68" t="n">
        <f aca="false">MAX(G147/$I$15,G148/설정!$B$60)*1000</f>
        <v>0</v>
      </c>
      <c r="H149" s="68" t="n">
        <f aca="false">MAX(H147/$I$15,H148/설정!$B$60)*1000</f>
        <v>0</v>
      </c>
      <c r="I149" s="2"/>
    </row>
    <row r="150" customFormat="false" ht="17.15" hidden="false" customHeight="false" outlineLevel="0" collapsed="false">
      <c r="A150" s="30" t="s">
        <v>314</v>
      </c>
      <c r="B150" s="67" t="n">
        <f aca="false">($D$16)*2*(1)*$B$16*$C$16</f>
        <v>0</v>
      </c>
      <c r="C150" s="67" t="n">
        <f aca="false">($D$16)*2*(1)*$B$16*$C$16</f>
        <v>0</v>
      </c>
      <c r="D150" s="67" t="n">
        <f aca="false">($D$16)*2*(1)*$B$16*$C$16</f>
        <v>0</v>
      </c>
      <c r="E150" s="67" t="n">
        <f aca="false">($D$16)*2*(1)*$B$16*$C$16</f>
        <v>0</v>
      </c>
      <c r="F150" s="67" t="n">
        <f aca="false">($D$16)*2*(1)*$B$16*$C$16</f>
        <v>0</v>
      </c>
      <c r="G150" s="67" t="n">
        <f aca="false">($D$16)*2*(1)*$B$16*$C$16</f>
        <v>0</v>
      </c>
      <c r="H150" s="67" t="n">
        <f aca="false">($D$16)*2*(1)*$B$16*$C$16</f>
        <v>0</v>
      </c>
      <c r="I150" s="2"/>
    </row>
    <row r="151" customFormat="false" ht="17.15" hidden="false" customHeight="false" outlineLevel="0" collapsed="false">
      <c r="A151" s="30" t="s">
        <v>315</v>
      </c>
      <c r="B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C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D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E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F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G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H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I151" s="2"/>
    </row>
    <row r="152" customFormat="false" ht="17.15" hidden="false" customHeight="false" outlineLevel="0" collapsed="false">
      <c r="A152" s="30" t="s">
        <v>316</v>
      </c>
      <c r="B152" s="68" t="n">
        <f aca="false">MAX(B150/$I$16,B151/설정!$B$60)*1000</f>
        <v>0</v>
      </c>
      <c r="C152" s="68" t="n">
        <f aca="false">MAX(C150/$I$16,C151/설정!$B$60)*1000</f>
        <v>0</v>
      </c>
      <c r="D152" s="68" t="n">
        <f aca="false">MAX(D150/$I$16,D151/설정!$B$60)*1000</f>
        <v>0</v>
      </c>
      <c r="E152" s="68" t="n">
        <f aca="false">MAX(E150/$I$16,E151/설정!$B$60)*1000</f>
        <v>0</v>
      </c>
      <c r="F152" s="68" t="n">
        <f aca="false">MAX(F150/$I$16,F151/설정!$B$60)*1000</f>
        <v>0</v>
      </c>
      <c r="G152" s="68" t="n">
        <f aca="false">MAX(G150/$I$16,G151/설정!$B$60)*1000</f>
        <v>0</v>
      </c>
      <c r="H152" s="68" t="n">
        <f aca="false">MAX(H150/$I$16,H151/설정!$B$60)*1000</f>
        <v>0</v>
      </c>
      <c r="I152" s="2"/>
    </row>
    <row r="153" customFormat="false" ht="17.15" hidden="false" customHeight="false" outlineLevel="0" collapsed="false">
      <c r="A153" s="30" t="s">
        <v>317</v>
      </c>
      <c r="B153" s="67" t="n">
        <f aca="false">($D$17)*2*(1)*$B$17*$C$17</f>
        <v>21626880</v>
      </c>
      <c r="C153" s="67" t="n">
        <f aca="false">($D$17)*2*(1)*$B$17*$C$17</f>
        <v>21626880</v>
      </c>
      <c r="D153" s="67" t="n">
        <f aca="false">($D$17)*2*(1)*$B$17*$C$17</f>
        <v>21626880</v>
      </c>
      <c r="E153" s="67" t="n">
        <f aca="false">($D$17)*2*(1)*$B$17*$C$17</f>
        <v>21626880</v>
      </c>
      <c r="F153" s="67" t="n">
        <f aca="false">($D$17)*2*(1)*$B$17*$C$17</f>
        <v>21626880</v>
      </c>
      <c r="G153" s="67" t="n">
        <f aca="false">($D$17)*2*(1)*$B$17*$C$17</f>
        <v>21626880</v>
      </c>
      <c r="H153" s="67" t="n">
        <f aca="false">($D$17)*2*(1)*$B$17*$C$17</f>
        <v>21626880</v>
      </c>
      <c r="I153" s="2"/>
    </row>
    <row r="154" customFormat="false" ht="17.15" hidden="false" customHeight="false" outlineLevel="0" collapsed="false">
      <c r="A154" s="30" t="s">
        <v>318</v>
      </c>
      <c r="B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11070720</v>
      </c>
      <c r="C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11070720</v>
      </c>
      <c r="D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11070720</v>
      </c>
      <c r="E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11070720</v>
      </c>
      <c r="F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11070720</v>
      </c>
      <c r="G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11070720</v>
      </c>
      <c r="H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11070720</v>
      </c>
      <c r="I154" s="2"/>
    </row>
    <row r="155" customFormat="false" ht="17.15" hidden="false" customHeight="false" outlineLevel="0" collapsed="false">
      <c r="A155" s="30" t="s">
        <v>319</v>
      </c>
      <c r="B155" s="68" t="n">
        <f aca="false">MAX(B153/$I$17,B154/설정!$B$60)*1000</f>
        <v>0.217072941176471</v>
      </c>
      <c r="C155" s="68" t="n">
        <f aca="false">MAX(C153/$I$17,C154/설정!$B$60)*1000</f>
        <v>0.217072941176471</v>
      </c>
      <c r="D155" s="68" t="n">
        <f aca="false">MAX(D153/$I$17,D154/설정!$B$60)*1000</f>
        <v>0.217072941176471</v>
      </c>
      <c r="E155" s="68" t="n">
        <f aca="false">MAX(E153/$I$17,E154/설정!$B$60)*1000</f>
        <v>0.217072941176471</v>
      </c>
      <c r="F155" s="68" t="n">
        <f aca="false">MAX(F153/$I$17,F154/설정!$B$60)*1000</f>
        <v>0.217072941176471</v>
      </c>
      <c r="G155" s="68" t="n">
        <f aca="false">MAX(G153/$I$17,G154/설정!$B$60)*1000</f>
        <v>0.217072941176471</v>
      </c>
      <c r="H155" s="68" t="n">
        <f aca="false">MAX(H153/$I$17,H154/설정!$B$60)*1000</f>
        <v>0.217072941176471</v>
      </c>
      <c r="I155" s="2"/>
    </row>
    <row r="156" customFormat="false" ht="17.15" hidden="false" customHeight="false" outlineLevel="0" collapsed="false">
      <c r="A156" s="30" t="s">
        <v>320</v>
      </c>
      <c r="B156" s="67" t="n">
        <f aca="false">($D$18)*2*(1)*$B$18*$C$18</f>
        <v>356843520</v>
      </c>
      <c r="C156" s="67" t="n">
        <f aca="false">($D$18)*2*(1)*$B$18*$C$18</f>
        <v>356843520</v>
      </c>
      <c r="D156" s="67" t="n">
        <f aca="false">($D$18)*2*(1)*$B$18*$C$18</f>
        <v>356843520</v>
      </c>
      <c r="E156" s="67" t="n">
        <f aca="false">($D$18)*2*(1)*$B$18*$C$18</f>
        <v>356843520</v>
      </c>
      <c r="F156" s="67" t="n">
        <f aca="false">($D$18)*2*(1)*$B$18*$C$18</f>
        <v>356843520</v>
      </c>
      <c r="G156" s="67" t="n">
        <f aca="false">($D$18)*2*(1)*$B$18*$C$18</f>
        <v>356843520</v>
      </c>
      <c r="H156" s="67" t="n">
        <f aca="false">($D$18)*2*(1)*$B$18*$C$18</f>
        <v>356843520</v>
      </c>
      <c r="I156" s="2"/>
    </row>
    <row r="157" customFormat="false" ht="17.15" hidden="false" customHeight="false" outlineLevel="0" collapsed="false">
      <c r="A157" s="30" t="s">
        <v>321</v>
      </c>
      <c r="B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92146560</v>
      </c>
      <c r="C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92146560</v>
      </c>
      <c r="D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92146560</v>
      </c>
      <c r="E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92146560</v>
      </c>
      <c r="F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92146560</v>
      </c>
      <c r="G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92146560</v>
      </c>
      <c r="H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92146560</v>
      </c>
      <c r="I157" s="2"/>
    </row>
    <row r="158" customFormat="false" ht="17.15" hidden="false" customHeight="false" outlineLevel="0" collapsed="false">
      <c r="A158" s="30" t="s">
        <v>322</v>
      </c>
      <c r="B158" s="68" t="n">
        <f aca="false">MAX(B156/$I$18,B157/설정!$B$60)*1000</f>
        <v>1.80679529411765</v>
      </c>
      <c r="C158" s="68" t="n">
        <f aca="false">MAX(C156/$I$18,C157/설정!$B$60)*1000</f>
        <v>1.80679529411765</v>
      </c>
      <c r="D158" s="68" t="n">
        <f aca="false">MAX(D156/$I$18,D157/설정!$B$60)*1000</f>
        <v>1.80679529411765</v>
      </c>
      <c r="E158" s="68" t="n">
        <f aca="false">MAX(E156/$I$18,E157/설정!$B$60)*1000</f>
        <v>1.80679529411765</v>
      </c>
      <c r="F158" s="68" t="n">
        <f aca="false">MAX(F156/$I$18,F157/설정!$B$60)*1000</f>
        <v>1.80679529411765</v>
      </c>
      <c r="G158" s="68" t="n">
        <f aca="false">MAX(G156/$I$18,G157/설정!$B$60)*1000</f>
        <v>1.80679529411765</v>
      </c>
      <c r="H158" s="68" t="n">
        <f aca="false">MAX(H156/$I$18,H157/설정!$B$60)*1000</f>
        <v>1.80679529411765</v>
      </c>
      <c r="I158" s="2"/>
    </row>
    <row r="159" customFormat="false" ht="17.15" hidden="false" customHeight="false" outlineLevel="0" collapsed="false">
      <c r="A159" s="30" t="s">
        <v>323</v>
      </c>
      <c r="B159" s="67" t="n">
        <f aca="false">($D$19)*2*(1)*$B$19*$C$19</f>
        <v>356843520</v>
      </c>
      <c r="C159" s="67" t="n">
        <f aca="false">($D$19)*2*(1)*$B$19*$C$19</f>
        <v>356843520</v>
      </c>
      <c r="D159" s="67" t="n">
        <f aca="false">($D$19)*2*(1)*$B$19*$C$19</f>
        <v>356843520</v>
      </c>
      <c r="E159" s="67" t="n">
        <f aca="false">($D$19)*2*(1)*$B$19*$C$19</f>
        <v>356843520</v>
      </c>
      <c r="F159" s="67" t="n">
        <f aca="false">($D$19)*2*(1)*$B$19*$C$19</f>
        <v>356843520</v>
      </c>
      <c r="G159" s="67" t="n">
        <f aca="false">($D$19)*2*(1)*$B$19*$C$19</f>
        <v>356843520</v>
      </c>
      <c r="H159" s="67" t="n">
        <f aca="false">($D$19)*2*(1)*$B$19*$C$19</f>
        <v>356843520</v>
      </c>
      <c r="I159" s="2"/>
    </row>
    <row r="160" customFormat="false" ht="17.15" hidden="false" customHeight="false" outlineLevel="0" collapsed="false">
      <c r="A160" s="30" t="s">
        <v>324</v>
      </c>
      <c r="B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92146560</v>
      </c>
      <c r="C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92146560</v>
      </c>
      <c r="D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92146560</v>
      </c>
      <c r="E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92146560</v>
      </c>
      <c r="F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92146560</v>
      </c>
      <c r="G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92146560</v>
      </c>
      <c r="H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92146560</v>
      </c>
      <c r="I160" s="2"/>
    </row>
    <row r="161" customFormat="false" ht="17.15" hidden="false" customHeight="false" outlineLevel="0" collapsed="false">
      <c r="A161" s="30" t="s">
        <v>325</v>
      </c>
      <c r="B161" s="68" t="n">
        <f aca="false">MAX(B159/$I$19,B160/설정!$B$60)*1000</f>
        <v>1.80679529411765</v>
      </c>
      <c r="C161" s="68" t="n">
        <f aca="false">MAX(C159/$I$19,C160/설정!$B$60)*1000</f>
        <v>1.80679529411765</v>
      </c>
      <c r="D161" s="68" t="n">
        <f aca="false">MAX(D159/$I$19,D160/설정!$B$60)*1000</f>
        <v>1.80679529411765</v>
      </c>
      <c r="E161" s="68" t="n">
        <f aca="false">MAX(E159/$I$19,E160/설정!$B$60)*1000</f>
        <v>1.80679529411765</v>
      </c>
      <c r="F161" s="68" t="n">
        <f aca="false">MAX(F159/$I$19,F160/설정!$B$60)*1000</f>
        <v>1.80679529411765</v>
      </c>
      <c r="G161" s="68" t="n">
        <f aca="false">MAX(G159/$I$19,G160/설정!$B$60)*1000</f>
        <v>1.80679529411765</v>
      </c>
      <c r="H161" s="68" t="n">
        <f aca="false">MAX(H159/$I$19,H160/설정!$B$60)*1000</f>
        <v>1.80679529411765</v>
      </c>
      <c r="I161" s="2"/>
    </row>
    <row r="162" customFormat="false" ht="17.15" hidden="false" customHeight="false" outlineLevel="0" collapsed="false">
      <c r="A162" s="30" t="s">
        <v>326</v>
      </c>
      <c r="B162" s="67" t="n">
        <f aca="false">($D$20)*2*(1)*$B$20*$C$20</f>
        <v>356843520</v>
      </c>
      <c r="C162" s="67" t="n">
        <f aca="false">($D$20)*2*(1)*$B$20*$C$20</f>
        <v>356843520</v>
      </c>
      <c r="D162" s="67" t="n">
        <f aca="false">($D$20)*2*(1)*$B$20*$C$20</f>
        <v>356843520</v>
      </c>
      <c r="E162" s="67" t="n">
        <f aca="false">($D$20)*2*(1)*$B$20*$C$20</f>
        <v>356843520</v>
      </c>
      <c r="F162" s="67" t="n">
        <f aca="false">($D$20)*2*(1)*$B$20*$C$20</f>
        <v>356843520</v>
      </c>
      <c r="G162" s="67" t="n">
        <f aca="false">($D$20)*2*(1)*$B$20*$C$20</f>
        <v>356843520</v>
      </c>
      <c r="H162" s="67" t="n">
        <f aca="false">($D$20)*2*(1)*$B$20*$C$20</f>
        <v>356843520</v>
      </c>
      <c r="I162" s="2"/>
    </row>
    <row r="163" customFormat="false" ht="17.15" hidden="false" customHeight="false" outlineLevel="0" collapsed="false">
      <c r="A163" s="30" t="s">
        <v>327</v>
      </c>
      <c r="B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92146560</v>
      </c>
      <c r="C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92146560</v>
      </c>
      <c r="D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92146560</v>
      </c>
      <c r="E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92146560</v>
      </c>
      <c r="F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92146560</v>
      </c>
      <c r="G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92146560</v>
      </c>
      <c r="H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92146560</v>
      </c>
      <c r="I163" s="2"/>
    </row>
    <row r="164" customFormat="false" ht="17.15" hidden="false" customHeight="false" outlineLevel="0" collapsed="false">
      <c r="A164" s="30" t="s">
        <v>328</v>
      </c>
      <c r="B164" s="68" t="n">
        <f aca="false">MAX(B162/$I$20,B163/설정!$B$60)*1000</f>
        <v>1.80679529411765</v>
      </c>
      <c r="C164" s="68" t="n">
        <f aca="false">MAX(C162/$I$20,C163/설정!$B$60)*1000</f>
        <v>1.80679529411765</v>
      </c>
      <c r="D164" s="68" t="n">
        <f aca="false">MAX(D162/$I$20,D163/설정!$B$60)*1000</f>
        <v>1.80679529411765</v>
      </c>
      <c r="E164" s="68" t="n">
        <f aca="false">MAX(E162/$I$20,E163/설정!$B$60)*1000</f>
        <v>1.80679529411765</v>
      </c>
      <c r="F164" s="68" t="n">
        <f aca="false">MAX(F162/$I$20,F163/설정!$B$60)*1000</f>
        <v>1.80679529411765</v>
      </c>
      <c r="G164" s="68" t="n">
        <f aca="false">MAX(G162/$I$20,G163/설정!$B$60)*1000</f>
        <v>1.80679529411765</v>
      </c>
      <c r="H164" s="68" t="n">
        <f aca="false">MAX(H162/$I$20,H163/설정!$B$60)*1000</f>
        <v>1.80679529411765</v>
      </c>
      <c r="I164" s="2"/>
    </row>
    <row r="165" customFormat="false" ht="17.15" hidden="false" customHeight="false" outlineLevel="0" collapsed="false">
      <c r="A165" s="30" t="s">
        <v>329</v>
      </c>
      <c r="B165" s="67" t="n">
        <f aca="false">($D$21*모델!$E$37)*2*(1)*$B$21*$C$21</f>
        <v>951582720</v>
      </c>
      <c r="C165" s="67" t="n">
        <f aca="false">($D$21*모델!$E$37)*2*(1)*$B$21*$C$21</f>
        <v>951582720</v>
      </c>
      <c r="D165" s="67" t="n">
        <f aca="false">($D$21*모델!$E$37)*2*(1)*$B$21*$C$21</f>
        <v>951582720</v>
      </c>
      <c r="E165" s="67" t="n">
        <f aca="false">($D$21*모델!$E$37)*2*(1)*$B$21*$C$21</f>
        <v>951582720</v>
      </c>
      <c r="F165" s="67" t="n">
        <f aca="false">($D$21*모델!$E$37)*2*(1)*$B$21*$C$21</f>
        <v>951582720</v>
      </c>
      <c r="G165" s="67" t="n">
        <f aca="false">($D$21*모델!$E$37)*2*(1)*$B$21*$C$21</f>
        <v>951582720</v>
      </c>
      <c r="H165" s="67" t="n">
        <f aca="false">($D$21*모델!$E$37)*2*(1)*$B$21*$C$21</f>
        <v>951582720</v>
      </c>
      <c r="I165" s="2"/>
    </row>
    <row r="166" customFormat="false" ht="17.15" hidden="false" customHeight="false" outlineLevel="0" collapsed="false">
      <c r="A166" s="30" t="s">
        <v>330</v>
      </c>
      <c r="B166" s="67" t="n">
        <f aca="false">($D$21*모델!$E$37)*MIN(($B$21*$C$21*$H$21)*MAX(1,ROUNDUP(((1)*$B$21*설정!$B$57)/설정!$B$61,0))+((1)*$B$21*설정!$B$57)+((1)*$C$21*설정!$B$57),($B$21*$C$21*$H$21)+((1)*$B$21*설정!$B$57)*MAX(1,ROUNDUP(($B$21*$C$21*$H$21)/설정!$B$61,0))+((1)*$C$21*설정!$B$57))</f>
        <v>246174720</v>
      </c>
      <c r="C166" s="67" t="n">
        <f aca="false">($D$21*모델!$E$37)*MIN(($B$21*$C$21*$H$21)*MAX(1,ROUNDUP(((1)*$B$21*설정!$B$57)/설정!$B$61,0))+((1)*$B$21*설정!$B$57)+((1)*$C$21*설정!$B$57),($B$21*$C$21*$H$21)+((1)*$B$21*설정!$B$57)*MAX(1,ROUNDUP(($B$21*$C$21*$H$21)/설정!$B$61,0))+((1)*$C$21*설정!$B$57))</f>
        <v>246174720</v>
      </c>
      <c r="D166" s="67" t="n">
        <f aca="false">($D$21*모델!$E$37)*MIN(($B$21*$C$21*$H$21)*MAX(1,ROUNDUP(((1)*$B$21*설정!$B$57)/설정!$B$61,0))+((1)*$B$21*설정!$B$57)+((1)*$C$21*설정!$B$57),($B$21*$C$21*$H$21)+((1)*$B$21*설정!$B$57)*MAX(1,ROUNDUP(($B$21*$C$21*$H$21)/설정!$B$61,0))+((1)*$C$21*설정!$B$57))</f>
        <v>246174720</v>
      </c>
      <c r="E166" s="67" t="n">
        <f aca="false">($D$21*모델!$E$37)*MIN(($B$21*$C$21*$H$21)*MAX(1,ROUNDUP(((1)*$B$21*설정!$B$57)/설정!$B$61,0))+((1)*$B$21*설정!$B$57)+((1)*$C$21*설정!$B$57),($B$21*$C$21*$H$21)+((1)*$B$21*설정!$B$57)*MAX(1,ROUNDUP(($B$21*$C$21*$H$21)/설정!$B$61,0))+((1)*$C$21*설정!$B$57))</f>
        <v>246174720</v>
      </c>
      <c r="F166" s="67" t="n">
        <f aca="false">($D$21*모델!$E$37)*MIN(($B$21*$C$21*$H$21)*MAX(1,ROUNDUP(((1)*$B$21*설정!$B$57)/설정!$B$61,0))+((1)*$B$21*설정!$B$57)+((1)*$C$21*설정!$B$57),($B$21*$C$21*$H$21)+((1)*$B$21*설정!$B$57)*MAX(1,ROUNDUP(($B$21*$C$21*$H$21)/설정!$B$61,0))+((1)*$C$21*설정!$B$57))</f>
        <v>246174720</v>
      </c>
      <c r="G166" s="67" t="n">
        <f aca="false">($D$21*모델!$E$37)*MIN(($B$21*$C$21*$H$21)*MAX(1,ROUNDUP(((1)*$B$21*설정!$B$57)/설정!$B$61,0))+((1)*$B$21*설정!$B$57)+((1)*$C$21*설정!$B$57),($B$21*$C$21*$H$21)+((1)*$B$21*설정!$B$57)*MAX(1,ROUNDUP(($B$21*$C$21*$H$21)/설정!$B$61,0))+((1)*$C$21*설정!$B$57))</f>
        <v>246174720</v>
      </c>
      <c r="H166" s="67" t="n">
        <f aca="false">($D$21*모델!$E$37)*MIN(($B$21*$C$21*$H$21)*MAX(1,ROUNDUP(((1)*$B$21*설정!$B$57)/설정!$B$61,0))+((1)*$B$21*설정!$B$57)+((1)*$C$21*설정!$B$57),($B$21*$C$21*$H$21)+((1)*$B$21*설정!$B$57)*MAX(1,ROUNDUP(($B$21*$C$21*$H$21)/설정!$B$61,0))+((1)*$C$21*설정!$B$57))</f>
        <v>246174720</v>
      </c>
      <c r="I166" s="2"/>
    </row>
    <row r="167" customFormat="false" ht="17.15" hidden="false" customHeight="false" outlineLevel="0" collapsed="false">
      <c r="A167" s="30" t="s">
        <v>331</v>
      </c>
      <c r="B167" s="68" t="n">
        <f aca="false">MAX(B165/$I$21,B166/설정!$B$60)*1000</f>
        <v>4.82695529411765</v>
      </c>
      <c r="C167" s="68" t="n">
        <f aca="false">MAX(C165/$I$21,C166/설정!$B$60)*1000</f>
        <v>4.82695529411765</v>
      </c>
      <c r="D167" s="68" t="n">
        <f aca="false">MAX(D165/$I$21,D166/설정!$B$60)*1000</f>
        <v>4.82695529411765</v>
      </c>
      <c r="E167" s="68" t="n">
        <f aca="false">MAX(E165/$I$21,E166/설정!$B$60)*1000</f>
        <v>4.82695529411765</v>
      </c>
      <c r="F167" s="68" t="n">
        <f aca="false">MAX(F165/$I$21,F166/설정!$B$60)*1000</f>
        <v>4.82695529411765</v>
      </c>
      <c r="G167" s="68" t="n">
        <f aca="false">MAX(G165/$I$21,G166/설정!$B$60)*1000</f>
        <v>4.82695529411765</v>
      </c>
      <c r="H167" s="68" t="n">
        <f aca="false">MAX(H165/$I$21,H166/설정!$B$60)*1000</f>
        <v>4.82695529411765</v>
      </c>
      <c r="I167" s="2"/>
    </row>
    <row r="168" customFormat="false" ht="17.15" hidden="false" customHeight="false" outlineLevel="0" collapsed="false">
      <c r="A168" s="30" t="s">
        <v>332</v>
      </c>
      <c r="B168" s="67" t="n">
        <f aca="false">($D$22*모델!$E$37)*2*(1)*$B$22*$C$22</f>
        <v>951582720</v>
      </c>
      <c r="C168" s="67" t="n">
        <f aca="false">($D$22*모델!$E$37)*2*(1)*$B$22*$C$22</f>
        <v>951582720</v>
      </c>
      <c r="D168" s="67" t="n">
        <f aca="false">($D$22*모델!$E$37)*2*(1)*$B$22*$C$22</f>
        <v>951582720</v>
      </c>
      <c r="E168" s="67" t="n">
        <f aca="false">($D$22*모델!$E$37)*2*(1)*$B$22*$C$22</f>
        <v>951582720</v>
      </c>
      <c r="F168" s="67" t="n">
        <f aca="false">($D$22*모델!$E$37)*2*(1)*$B$22*$C$22</f>
        <v>951582720</v>
      </c>
      <c r="G168" s="67" t="n">
        <f aca="false">($D$22*모델!$E$37)*2*(1)*$B$22*$C$22</f>
        <v>951582720</v>
      </c>
      <c r="H168" s="67" t="n">
        <f aca="false">($D$22*모델!$E$37)*2*(1)*$B$22*$C$22</f>
        <v>951582720</v>
      </c>
      <c r="I168" s="2"/>
    </row>
    <row r="169" customFormat="false" ht="17.15" hidden="false" customHeight="false" outlineLevel="0" collapsed="false">
      <c r="A169" s="30" t="s">
        <v>333</v>
      </c>
      <c r="B169" s="67" t="n">
        <f aca="false">($D$22*모델!$E$37)*MIN(($B$22*$C$22*$H$22)*MAX(1,ROUNDUP(((1)*$B$22*설정!$B$57)/설정!$B$61,0))+((1)*$B$22*설정!$B$57)+((1)*$C$22*설정!$B$57),($B$22*$C$22*$H$22)+((1)*$B$22*설정!$B$57)*MAX(1,ROUNDUP(($B$22*$C$22*$H$22)/설정!$B$61,0))+((1)*$C$22*설정!$B$57))</f>
        <v>246174720</v>
      </c>
      <c r="C169" s="67" t="n">
        <f aca="false">($D$22*모델!$E$37)*MIN(($B$22*$C$22*$H$22)*MAX(1,ROUNDUP(((1)*$B$22*설정!$B$57)/설정!$B$61,0))+((1)*$B$22*설정!$B$57)+((1)*$C$22*설정!$B$57),($B$22*$C$22*$H$22)+((1)*$B$22*설정!$B$57)*MAX(1,ROUNDUP(($B$22*$C$22*$H$22)/설정!$B$61,0))+((1)*$C$22*설정!$B$57))</f>
        <v>246174720</v>
      </c>
      <c r="D169" s="67" t="n">
        <f aca="false">($D$22*모델!$E$37)*MIN(($B$22*$C$22*$H$22)*MAX(1,ROUNDUP(((1)*$B$22*설정!$B$57)/설정!$B$61,0))+((1)*$B$22*설정!$B$57)+((1)*$C$22*설정!$B$57),($B$22*$C$22*$H$22)+((1)*$B$22*설정!$B$57)*MAX(1,ROUNDUP(($B$22*$C$22*$H$22)/설정!$B$61,0))+((1)*$C$22*설정!$B$57))</f>
        <v>246174720</v>
      </c>
      <c r="E169" s="67" t="n">
        <f aca="false">($D$22*모델!$E$37)*MIN(($B$22*$C$22*$H$22)*MAX(1,ROUNDUP(((1)*$B$22*설정!$B$57)/설정!$B$61,0))+((1)*$B$22*설정!$B$57)+((1)*$C$22*설정!$B$57),($B$22*$C$22*$H$22)+((1)*$B$22*설정!$B$57)*MAX(1,ROUNDUP(($B$22*$C$22*$H$22)/설정!$B$61,0))+((1)*$C$22*설정!$B$57))</f>
        <v>246174720</v>
      </c>
      <c r="F169" s="67" t="n">
        <f aca="false">($D$22*모델!$E$37)*MIN(($B$22*$C$22*$H$22)*MAX(1,ROUNDUP(((1)*$B$22*설정!$B$57)/설정!$B$61,0))+((1)*$B$22*설정!$B$57)+((1)*$C$22*설정!$B$57),($B$22*$C$22*$H$22)+((1)*$B$22*설정!$B$57)*MAX(1,ROUNDUP(($B$22*$C$22*$H$22)/설정!$B$61,0))+((1)*$C$22*설정!$B$57))</f>
        <v>246174720</v>
      </c>
      <c r="G169" s="67" t="n">
        <f aca="false">($D$22*모델!$E$37)*MIN(($B$22*$C$22*$H$22)*MAX(1,ROUNDUP(((1)*$B$22*설정!$B$57)/설정!$B$61,0))+((1)*$B$22*설정!$B$57)+((1)*$C$22*설정!$B$57),($B$22*$C$22*$H$22)+((1)*$B$22*설정!$B$57)*MAX(1,ROUNDUP(($B$22*$C$22*$H$22)/설정!$B$61,0))+((1)*$C$22*설정!$B$57))</f>
        <v>246174720</v>
      </c>
      <c r="H169" s="67" t="n">
        <f aca="false">($D$22*모델!$E$37)*MIN(($B$22*$C$22*$H$22)*MAX(1,ROUNDUP(((1)*$B$22*설정!$B$57)/설정!$B$61,0))+((1)*$B$22*설정!$B$57)+((1)*$C$22*설정!$B$57),($B$22*$C$22*$H$22)+((1)*$B$22*설정!$B$57)*MAX(1,ROUNDUP(($B$22*$C$22*$H$22)/설정!$B$61,0))+((1)*$C$22*설정!$B$57))</f>
        <v>246174720</v>
      </c>
      <c r="I169" s="2"/>
    </row>
    <row r="170" customFormat="false" ht="17.15" hidden="false" customHeight="false" outlineLevel="0" collapsed="false">
      <c r="A170" s="30" t="s">
        <v>334</v>
      </c>
      <c r="B170" s="68" t="n">
        <f aca="false">MAX(B168/$I$22,B169/설정!$B$60)*1000</f>
        <v>4.82695529411765</v>
      </c>
      <c r="C170" s="68" t="n">
        <f aca="false">MAX(C168/$I$22,C169/설정!$B$60)*1000</f>
        <v>4.82695529411765</v>
      </c>
      <c r="D170" s="68" t="n">
        <f aca="false">MAX(D168/$I$22,D169/설정!$B$60)*1000</f>
        <v>4.82695529411765</v>
      </c>
      <c r="E170" s="68" t="n">
        <f aca="false">MAX(E168/$I$22,E169/설정!$B$60)*1000</f>
        <v>4.82695529411765</v>
      </c>
      <c r="F170" s="68" t="n">
        <f aca="false">MAX(F168/$I$22,F169/설정!$B$60)*1000</f>
        <v>4.82695529411765</v>
      </c>
      <c r="G170" s="68" t="n">
        <f aca="false">MAX(G168/$I$22,G169/설정!$B$60)*1000</f>
        <v>4.82695529411765</v>
      </c>
      <c r="H170" s="68" t="n">
        <f aca="false">MAX(H168/$I$22,H169/설정!$B$60)*1000</f>
        <v>4.82695529411765</v>
      </c>
      <c r="I170" s="2"/>
    </row>
    <row r="171" customFormat="false" ht="17.15" hidden="false" customHeight="false" outlineLevel="0" collapsed="false">
      <c r="A171" s="30" t="s">
        <v>335</v>
      </c>
      <c r="B171" s="67" t="n">
        <f aca="false">($D$23*모델!$E$37)*2*(1)*$B$23*$C$23</f>
        <v>951582720</v>
      </c>
      <c r="C171" s="67" t="n">
        <f aca="false">($D$23*모델!$E$37)*2*(1)*$B$23*$C$23</f>
        <v>951582720</v>
      </c>
      <c r="D171" s="67" t="n">
        <f aca="false">($D$23*모델!$E$37)*2*(1)*$B$23*$C$23</f>
        <v>951582720</v>
      </c>
      <c r="E171" s="67" t="n">
        <f aca="false">($D$23*모델!$E$37)*2*(1)*$B$23*$C$23</f>
        <v>951582720</v>
      </c>
      <c r="F171" s="67" t="n">
        <f aca="false">($D$23*모델!$E$37)*2*(1)*$B$23*$C$23</f>
        <v>951582720</v>
      </c>
      <c r="G171" s="67" t="n">
        <f aca="false">($D$23*모델!$E$37)*2*(1)*$B$23*$C$23</f>
        <v>951582720</v>
      </c>
      <c r="H171" s="67" t="n">
        <f aca="false">($D$23*모델!$E$37)*2*(1)*$B$23*$C$23</f>
        <v>951582720</v>
      </c>
      <c r="I171" s="2"/>
    </row>
    <row r="172" customFormat="false" ht="17.15" hidden="false" customHeight="false" outlineLevel="0" collapsed="false">
      <c r="A172" s="30" t="s">
        <v>336</v>
      </c>
      <c r="B172" s="67" t="n">
        <f aca="false">($D$23*모델!$E$37)*MIN(($B$23*$C$23*$H$23)*MAX(1,ROUNDUP(((1)*$B$23*설정!$B$57)/설정!$B$61,0))+((1)*$B$23*설정!$B$57)+((1)*$C$23*설정!$B$57),($B$23*$C$23*$H$23)+((1)*$B$23*설정!$B$57)*MAX(1,ROUNDUP(($B$23*$C$23*$H$23)/설정!$B$61,0))+((1)*$C$23*설정!$B$57))</f>
        <v>246174720</v>
      </c>
      <c r="C172" s="67" t="n">
        <f aca="false">($D$23*모델!$E$37)*MIN(($B$23*$C$23*$H$23)*MAX(1,ROUNDUP(((1)*$B$23*설정!$B$57)/설정!$B$61,0))+((1)*$B$23*설정!$B$57)+((1)*$C$23*설정!$B$57),($B$23*$C$23*$H$23)+((1)*$B$23*설정!$B$57)*MAX(1,ROUNDUP(($B$23*$C$23*$H$23)/설정!$B$61,0))+((1)*$C$23*설정!$B$57))</f>
        <v>246174720</v>
      </c>
      <c r="D172" s="67" t="n">
        <f aca="false">($D$23*모델!$E$37)*MIN(($B$23*$C$23*$H$23)*MAX(1,ROUNDUP(((1)*$B$23*설정!$B$57)/설정!$B$61,0))+((1)*$B$23*설정!$B$57)+((1)*$C$23*설정!$B$57),($B$23*$C$23*$H$23)+((1)*$B$23*설정!$B$57)*MAX(1,ROUNDUP(($B$23*$C$23*$H$23)/설정!$B$61,0))+((1)*$C$23*설정!$B$57))</f>
        <v>246174720</v>
      </c>
      <c r="E172" s="67" t="n">
        <f aca="false">($D$23*모델!$E$37)*MIN(($B$23*$C$23*$H$23)*MAX(1,ROUNDUP(((1)*$B$23*설정!$B$57)/설정!$B$61,0))+((1)*$B$23*설정!$B$57)+((1)*$C$23*설정!$B$57),($B$23*$C$23*$H$23)+((1)*$B$23*설정!$B$57)*MAX(1,ROUNDUP(($B$23*$C$23*$H$23)/설정!$B$61,0))+((1)*$C$23*설정!$B$57))</f>
        <v>246174720</v>
      </c>
      <c r="F172" s="67" t="n">
        <f aca="false">($D$23*모델!$E$37)*MIN(($B$23*$C$23*$H$23)*MAX(1,ROUNDUP(((1)*$B$23*설정!$B$57)/설정!$B$61,0))+((1)*$B$23*설정!$B$57)+((1)*$C$23*설정!$B$57),($B$23*$C$23*$H$23)+((1)*$B$23*설정!$B$57)*MAX(1,ROUNDUP(($B$23*$C$23*$H$23)/설정!$B$61,0))+((1)*$C$23*설정!$B$57))</f>
        <v>246174720</v>
      </c>
      <c r="G172" s="67" t="n">
        <f aca="false">($D$23*모델!$E$37)*MIN(($B$23*$C$23*$H$23)*MAX(1,ROUNDUP(((1)*$B$23*설정!$B$57)/설정!$B$61,0))+((1)*$B$23*설정!$B$57)+((1)*$C$23*설정!$B$57),($B$23*$C$23*$H$23)+((1)*$B$23*설정!$B$57)*MAX(1,ROUNDUP(($B$23*$C$23*$H$23)/설정!$B$61,0))+((1)*$C$23*설정!$B$57))</f>
        <v>246174720</v>
      </c>
      <c r="H172" s="67" t="n">
        <f aca="false">($D$23*모델!$E$37)*MIN(($B$23*$C$23*$H$23)*MAX(1,ROUNDUP(((1)*$B$23*설정!$B$57)/설정!$B$61,0))+((1)*$B$23*설정!$B$57)+((1)*$C$23*설정!$B$57),($B$23*$C$23*$H$23)+((1)*$B$23*설정!$B$57)*MAX(1,ROUNDUP(($B$23*$C$23*$H$23)/설정!$B$61,0))+((1)*$C$23*설정!$B$57))</f>
        <v>246174720</v>
      </c>
      <c r="I172" s="2"/>
    </row>
    <row r="173" customFormat="false" ht="17.15" hidden="false" customHeight="false" outlineLevel="0" collapsed="false">
      <c r="A173" s="30" t="s">
        <v>337</v>
      </c>
      <c r="B173" s="68" t="n">
        <f aca="false">MAX(B171/$I$23,B172/설정!$B$60)*1000</f>
        <v>4.82695529411765</v>
      </c>
      <c r="C173" s="68" t="n">
        <f aca="false">MAX(C171/$I$23,C172/설정!$B$60)*1000</f>
        <v>4.82695529411765</v>
      </c>
      <c r="D173" s="68" t="n">
        <f aca="false">MAX(D171/$I$23,D172/설정!$B$60)*1000</f>
        <v>4.82695529411765</v>
      </c>
      <c r="E173" s="68" t="n">
        <f aca="false">MAX(E171/$I$23,E172/설정!$B$60)*1000</f>
        <v>4.82695529411765</v>
      </c>
      <c r="F173" s="68" t="n">
        <f aca="false">MAX(F171/$I$23,F172/설정!$B$60)*1000</f>
        <v>4.82695529411765</v>
      </c>
      <c r="G173" s="68" t="n">
        <f aca="false">MAX(G171/$I$23,G172/설정!$B$60)*1000</f>
        <v>4.82695529411765</v>
      </c>
      <c r="H173" s="68" t="n">
        <f aca="false">MAX(H171/$I$23,H172/설정!$B$60)*1000</f>
        <v>4.82695529411765</v>
      </c>
      <c r="I173" s="2"/>
    </row>
    <row r="174" customFormat="false" ht="17.15" hidden="false" customHeight="false" outlineLevel="0" collapsed="false">
      <c r="A174" s="30" t="s">
        <v>338</v>
      </c>
      <c r="B174" s="67" t="n">
        <f aca="false">($D$24)*2*(1)*$B$24*$C$24</f>
        <v>1476395008</v>
      </c>
      <c r="C174" s="67" t="n">
        <f aca="false">($D$24)*2*(1)*$B$24*$C$24</f>
        <v>1476395008</v>
      </c>
      <c r="D174" s="67" t="n">
        <f aca="false">($D$24)*2*(1)*$B$24*$C$24</f>
        <v>1476395008</v>
      </c>
      <c r="E174" s="67" t="n">
        <f aca="false">($D$24)*2*(1)*$B$24*$C$24</f>
        <v>1476395008</v>
      </c>
      <c r="F174" s="67" t="n">
        <f aca="false">($D$24)*2*(1)*$B$24*$C$24</f>
        <v>1476395008</v>
      </c>
      <c r="G174" s="67" t="n">
        <f aca="false">($D$24)*2*(1)*$B$24*$C$24</f>
        <v>1476395008</v>
      </c>
      <c r="H174" s="67" t="n">
        <f aca="false">($D$24)*2*(1)*$B$24*$C$24</f>
        <v>1476395008</v>
      </c>
      <c r="I174" s="2"/>
    </row>
    <row r="175" customFormat="false" ht="17.15" hidden="false" customHeight="false" outlineLevel="0" collapsed="false">
      <c r="A175" s="30" t="s">
        <v>339</v>
      </c>
      <c r="B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C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D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E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F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G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H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380898048</v>
      </c>
      <c r="I175" s="2"/>
    </row>
    <row r="176" customFormat="false" ht="17.15" hidden="false" customHeight="false" outlineLevel="0" collapsed="false">
      <c r="A176" s="30" t="s">
        <v>340</v>
      </c>
      <c r="B176" s="68" t="n">
        <f aca="false">MAX(B174/$I$24,B175/설정!$B$60)*1000</f>
        <v>7.46858917647059</v>
      </c>
      <c r="C176" s="68" t="n">
        <f aca="false">MAX(C174/$I$24,C175/설정!$B$60)*1000</f>
        <v>7.46858917647059</v>
      </c>
      <c r="D176" s="68" t="n">
        <f aca="false">MAX(D174/$I$24,D175/설정!$B$60)*1000</f>
        <v>7.46858917647059</v>
      </c>
      <c r="E176" s="68" t="n">
        <f aca="false">MAX(E174/$I$24,E175/설정!$B$60)*1000</f>
        <v>7.46858917647059</v>
      </c>
      <c r="F176" s="68" t="n">
        <f aca="false">MAX(F174/$I$24,F175/설정!$B$60)*1000</f>
        <v>7.46858917647059</v>
      </c>
      <c r="G176" s="68" t="n">
        <f aca="false">MAX(G174/$I$24,G175/설정!$B$60)*1000</f>
        <v>7.46858917647059</v>
      </c>
      <c r="H176" s="68" t="n">
        <f aca="false">MAX(H174/$I$24,H175/설정!$B$60)*1000</f>
        <v>7.46858917647059</v>
      </c>
      <c r="I176" s="2"/>
    </row>
    <row r="177" customFormat="false" ht="17.15" hidden="false" customHeight="false" outlineLevel="0" collapsed="false">
      <c r="A177" s="30" t="s">
        <v>342</v>
      </c>
      <c r="B177" s="67" t="n">
        <f aca="false">모델!$E$12*4*모델!$E$13*모델!$E$15*B116</f>
        <v>41943040</v>
      </c>
      <c r="C177" s="67" t="n">
        <f aca="false">모델!$E$12*4*모델!$E$13*모델!$E$15*C116</f>
        <v>62914560</v>
      </c>
      <c r="D177" s="67" t="n">
        <f aca="false">모델!$E$12*4*모델!$E$13*모델!$E$15*D116</f>
        <v>104857600</v>
      </c>
      <c r="E177" s="67" t="n">
        <f aca="false">모델!$E$12*4*모델!$E$13*모델!$E$15*E116</f>
        <v>188743680</v>
      </c>
      <c r="F177" s="67" t="n">
        <f aca="false">모델!$E$12*4*모델!$E$13*모델!$E$15*F116</f>
        <v>356515840</v>
      </c>
      <c r="G177" s="67" t="n">
        <f aca="false">모델!$E$12*4*모델!$E$13*모델!$E$15*G116</f>
        <v>692060160</v>
      </c>
      <c r="H177" s="67" t="n">
        <f aca="false">모델!$E$12*4*모델!$E$13*모델!$E$15*H116</f>
        <v>1363148800</v>
      </c>
      <c r="I177" s="2"/>
    </row>
    <row r="178" customFormat="false" ht="17.15" hidden="false" customHeight="false" outlineLevel="0" collapsed="false">
      <c r="A178" s="30" t="s">
        <v>364</v>
      </c>
      <c r="B178" s="67" t="n">
        <f aca="false">모델!$E$12*(B116*2*모델!$E$14*모델!$E$15*설정!$B$58+2*모델!$E$13*모델!$E$15*설정!$B$57)</f>
        <v>2703360</v>
      </c>
      <c r="C178" s="67" t="n">
        <f aca="false">모델!$E$12*(C116*2*모델!$E$14*모델!$E$15*설정!$B$58+2*모델!$E$13*모델!$E$15*설정!$B$57)</f>
        <v>4014080</v>
      </c>
      <c r="D178" s="67" t="n">
        <f aca="false">모델!$E$12*(D116*2*모델!$E$14*모델!$E$15*설정!$B$58+2*모델!$E$13*모델!$E$15*설정!$B$57)</f>
        <v>6635520</v>
      </c>
      <c r="E178" s="67" t="n">
        <f aca="false">모델!$E$12*(E116*2*모델!$E$14*모델!$E$15*설정!$B$58+2*모델!$E$13*모델!$E$15*설정!$B$57)</f>
        <v>11878400</v>
      </c>
      <c r="F178" s="67" t="n">
        <f aca="false">모델!$E$12*(F116*2*모델!$E$14*모델!$E$15*설정!$B$58+2*모델!$E$13*모델!$E$15*설정!$B$57)</f>
        <v>22364160</v>
      </c>
      <c r="G178" s="67" t="n">
        <f aca="false">모델!$E$12*(G116*2*모델!$E$14*모델!$E$15*설정!$B$58+2*모델!$E$13*모델!$E$15*설정!$B$57)</f>
        <v>43335680</v>
      </c>
      <c r="H178" s="67" t="n">
        <f aca="false">모델!$E$12*(H116*2*모델!$E$14*모델!$E$15*설정!$B$58+2*모델!$E$13*모델!$E$15*설정!$B$57)</f>
        <v>85278720</v>
      </c>
      <c r="I178" s="2"/>
    </row>
    <row r="179" customFormat="false" ht="17.15" hidden="false" customHeight="false" outlineLevel="0" collapsed="false">
      <c r="A179" s="30" t="s">
        <v>344</v>
      </c>
      <c r="B179" s="68" t="n">
        <f aca="false">MAX(B177/설정!$B$68,B178/설정!$B$60)*1000</f>
        <v>0.0530070588235294</v>
      </c>
      <c r="C179" s="68" t="n">
        <f aca="false">MAX(C177/설정!$B$68,C178/설정!$B$60)*1000</f>
        <v>0.0787074509803922</v>
      </c>
      <c r="D179" s="68" t="n">
        <f aca="false">MAX(D177/설정!$B$68,D178/설정!$B$60)*1000</f>
        <v>0.130108235294118</v>
      </c>
      <c r="E179" s="68" t="n">
        <f aca="false">MAX(E177/설정!$B$68,E178/설정!$B$60)*1000</f>
        <v>0.232909803921569</v>
      </c>
      <c r="F179" s="68" t="n">
        <f aca="false">MAX(F177/설정!$B$68,F178/설정!$B$60)*1000</f>
        <v>0.438512941176471</v>
      </c>
      <c r="G179" s="68" t="n">
        <f aca="false">MAX(G177/설정!$B$68,G178/설정!$B$60)*1000</f>
        <v>0.849719215686275</v>
      </c>
      <c r="H179" s="68" t="n">
        <f aca="false">MAX(H177/설정!$B$68,H178/설정!$B$60)*1000</f>
        <v>1.67213176470588</v>
      </c>
      <c r="I179" s="2"/>
    </row>
    <row r="180" customFormat="false" ht="17.15" hidden="false" customHeight="false" outlineLevel="0" collapsed="false">
      <c r="A180" s="30" t="s">
        <v>365</v>
      </c>
      <c r="B180" s="69" t="n">
        <f aca="false">MIN(B116,모델!$E$20)</f>
        <v>256</v>
      </c>
      <c r="C180" s="69" t="n">
        <f aca="false">MIN(C116,모델!$E$20)</f>
        <v>384</v>
      </c>
      <c r="D180" s="69" t="n">
        <f aca="false">MIN(D116,모델!$E$20)</f>
        <v>640</v>
      </c>
      <c r="E180" s="69" t="n">
        <f aca="false">MIN(E116,모델!$E$20)</f>
        <v>1024</v>
      </c>
      <c r="F180" s="69" t="n">
        <f aca="false">MIN(F116,모델!$E$20)</f>
        <v>1024</v>
      </c>
      <c r="G180" s="69" t="n">
        <f aca="false">MIN(G116,모델!$E$20)</f>
        <v>1024</v>
      </c>
      <c r="H180" s="69" t="n">
        <f aca="false">MIN(H116,모델!$E$20)</f>
        <v>1024</v>
      </c>
      <c r="I180" s="2"/>
    </row>
    <row r="181" customFormat="false" ht="17.15" hidden="false" customHeight="false" outlineLevel="0" collapsed="false">
      <c r="A181" s="30" t="s">
        <v>346</v>
      </c>
      <c r="B181" s="67" t="n">
        <f aca="false">모델!$E$19*4*모델!$E$21*모델!$E$23*B180</f>
        <v>104857600</v>
      </c>
      <c r="C181" s="67" t="n">
        <f aca="false">모델!$E$19*4*모델!$E$21*모델!$E$23*C180</f>
        <v>157286400</v>
      </c>
      <c r="D181" s="67" t="n">
        <f aca="false">모델!$E$19*4*모델!$E$21*모델!$E$23*D180</f>
        <v>262144000</v>
      </c>
      <c r="E181" s="67" t="n">
        <f aca="false">모델!$E$19*4*모델!$E$21*모델!$E$23*E180</f>
        <v>419430400</v>
      </c>
      <c r="F181" s="67" t="n">
        <f aca="false">모델!$E$19*4*모델!$E$21*모델!$E$23*F180</f>
        <v>419430400</v>
      </c>
      <c r="G181" s="67" t="n">
        <f aca="false">모델!$E$19*4*모델!$E$21*모델!$E$23*G180</f>
        <v>419430400</v>
      </c>
      <c r="H181" s="67" t="n">
        <f aca="false">모델!$E$19*4*모델!$E$21*모델!$E$23*H180</f>
        <v>419430400</v>
      </c>
      <c r="I181" s="2"/>
    </row>
    <row r="182" customFormat="false" ht="17.15" hidden="false" customHeight="false" outlineLevel="0" collapsed="false">
      <c r="A182" s="30" t="s">
        <v>366</v>
      </c>
      <c r="B182" s="67" t="n">
        <f aca="false">모델!$E$19*(B180*2*모델!$E$22*모델!$E$23*설정!$B$58+2*모델!$E$21*모델!$E$23*설정!$B$57)</f>
        <v>26419200</v>
      </c>
      <c r="C182" s="67" t="n">
        <f aca="false">모델!$E$19*(C180*2*모델!$E$22*모델!$E$23*설정!$B$58+2*모델!$E$21*모델!$E$23*설정!$B$57)</f>
        <v>39526400</v>
      </c>
      <c r="D182" s="67" t="n">
        <f aca="false">모델!$E$19*(D180*2*모델!$E$22*모델!$E$23*설정!$B$58+2*모델!$E$21*모델!$E$23*설정!$B$57)</f>
        <v>65740800</v>
      </c>
      <c r="E182" s="67" t="n">
        <f aca="false">모델!$E$19*(E180*2*모델!$E$22*모델!$E$23*설정!$B$58+2*모델!$E$21*모델!$E$23*설정!$B$57)</f>
        <v>105062400</v>
      </c>
      <c r="F182" s="67" t="n">
        <f aca="false">모델!$E$19*(F180*2*모델!$E$22*모델!$E$23*설정!$B$58+2*모델!$E$21*모델!$E$23*설정!$B$57)</f>
        <v>105062400</v>
      </c>
      <c r="G182" s="67" t="n">
        <f aca="false">모델!$E$19*(G180*2*모델!$E$22*모델!$E$23*설정!$B$58+2*모델!$E$21*모델!$E$23*설정!$B$57)</f>
        <v>105062400</v>
      </c>
      <c r="H182" s="67" t="n">
        <f aca="false">모델!$E$19*(H180*2*모델!$E$22*모델!$E$23*설정!$B$58+2*모델!$E$21*모델!$E$23*설정!$B$57)</f>
        <v>105062400</v>
      </c>
      <c r="I182" s="2"/>
    </row>
    <row r="183" customFormat="false" ht="17.15" hidden="false" customHeight="false" outlineLevel="0" collapsed="false">
      <c r="A183" s="30" t="s">
        <v>348</v>
      </c>
      <c r="B183" s="68" t="n">
        <f aca="false">MAX(B181/설정!$B$68,B182/설정!$B$60)*1000</f>
        <v>0.518023529411765</v>
      </c>
      <c r="C183" s="68" t="n">
        <f aca="false">MAX(C181/설정!$B$68,C182/설정!$B$60)*1000</f>
        <v>0.775027450980392</v>
      </c>
      <c r="D183" s="68" t="n">
        <f aca="false">MAX(D181/설정!$B$68,D182/설정!$B$60)*1000</f>
        <v>1.28903529411765</v>
      </c>
      <c r="E183" s="68" t="n">
        <f aca="false">MAX(E181/설정!$B$68,E182/설정!$B$60)*1000</f>
        <v>2.06004705882353</v>
      </c>
      <c r="F183" s="68" t="n">
        <f aca="false">MAX(F181/설정!$B$68,F182/설정!$B$60)*1000</f>
        <v>2.06004705882353</v>
      </c>
      <c r="G183" s="68" t="n">
        <f aca="false">MAX(G181/설정!$B$68,G182/설정!$B$60)*1000</f>
        <v>2.06004705882353</v>
      </c>
      <c r="H183" s="68" t="n">
        <f aca="false">MAX(H181/설정!$B$68,H182/설정!$B$60)*1000</f>
        <v>2.06004705882353</v>
      </c>
      <c r="I183" s="2"/>
    </row>
    <row r="184" customFormat="false" ht="17.15" hidden="false" customHeight="false" outlineLevel="0" collapsed="false">
      <c r="A184" s="30" t="s">
        <v>367</v>
      </c>
      <c r="B184" s="67" t="n">
        <f aca="false">모델!$E$26*(모델!$E$29*7*모델!$E$28*모델!$E$30+2*모델!$E$31*모델!$E$52)</f>
        <v>0</v>
      </c>
      <c r="C184" s="67" t="n">
        <f aca="false">모델!$E$26*(모델!$E$29*7*모델!$E$28*모델!$E$30+2*모델!$E$31*모델!$E$52)</f>
        <v>0</v>
      </c>
      <c r="D184" s="67" t="n">
        <f aca="false">모델!$E$26*(모델!$E$29*7*모델!$E$28*모델!$E$30+2*모델!$E$31*모델!$E$52)</f>
        <v>0</v>
      </c>
      <c r="E184" s="67" t="n">
        <f aca="false">모델!$E$26*(모델!$E$29*7*모델!$E$28*모델!$E$30+2*모델!$E$31*모델!$E$52)</f>
        <v>0</v>
      </c>
      <c r="F184" s="67" t="n">
        <f aca="false">모델!$E$26*(모델!$E$29*7*모델!$E$28*모델!$E$30+2*모델!$E$31*모델!$E$52)</f>
        <v>0</v>
      </c>
      <c r="G184" s="67" t="n">
        <f aca="false">모델!$E$26*(모델!$E$29*7*모델!$E$28*모델!$E$30+2*모델!$E$31*모델!$E$52)</f>
        <v>0</v>
      </c>
      <c r="H184" s="67" t="n">
        <f aca="false">모델!$E$26*(모델!$E$29*7*모델!$E$28*모델!$E$30+2*모델!$E$31*모델!$E$52)</f>
        <v>0</v>
      </c>
      <c r="I184" s="2"/>
    </row>
    <row r="185" customFormat="false" ht="17.15" hidden="false" customHeight="false" outlineLevel="0" collapsed="false">
      <c r="A185" s="30" t="s">
        <v>368</v>
      </c>
      <c r="B185" s="67" t="n">
        <f aca="false">모델!$E$26*(2*모델!$E$29*모델!$E$28*모델!$E$30*설정!$B$59+2*MAX(0,모델!$E$31-1)*모델!$E$52*설정!$B$57+(모델!$E$52+2*모델!$E$29+모델!$E$29*모델!$E$30)*설정!$B$57)</f>
        <v>0</v>
      </c>
      <c r="C185" s="67" t="n">
        <f aca="false">모델!$E$26*(2*모델!$E$29*모델!$E$28*모델!$E$30*설정!$B$59+2*MAX(0,모델!$E$31-1)*모델!$E$52*설정!$B$57+(모델!$E$52+2*모델!$E$29+모델!$E$29*모델!$E$30)*설정!$B$57)</f>
        <v>0</v>
      </c>
      <c r="D185" s="67" t="n">
        <f aca="false">모델!$E$26*(2*모델!$E$29*모델!$E$28*모델!$E$30*설정!$B$59+2*MAX(0,모델!$E$31-1)*모델!$E$52*설정!$B$57+(모델!$E$52+2*모델!$E$29+모델!$E$29*모델!$E$30)*설정!$B$57)</f>
        <v>0</v>
      </c>
      <c r="E185" s="67" t="n">
        <f aca="false">모델!$E$26*(2*모델!$E$29*모델!$E$28*모델!$E$30*설정!$B$59+2*MAX(0,모델!$E$31-1)*모델!$E$52*설정!$B$57+(모델!$E$52+2*모델!$E$29+모델!$E$29*모델!$E$30)*설정!$B$57)</f>
        <v>0</v>
      </c>
      <c r="F185" s="67" t="n">
        <f aca="false">모델!$E$26*(2*모델!$E$29*모델!$E$28*모델!$E$30*설정!$B$59+2*MAX(0,모델!$E$31-1)*모델!$E$52*설정!$B$57+(모델!$E$52+2*모델!$E$29+모델!$E$29*모델!$E$30)*설정!$B$57)</f>
        <v>0</v>
      </c>
      <c r="G185" s="67" t="n">
        <f aca="false">모델!$E$26*(2*모델!$E$29*모델!$E$28*모델!$E$30*설정!$B$59+2*MAX(0,모델!$E$31-1)*모델!$E$52*설정!$B$57+(모델!$E$52+2*모델!$E$29+모델!$E$29*모델!$E$30)*설정!$B$57)</f>
        <v>0</v>
      </c>
      <c r="H185" s="67" t="n">
        <f aca="false">모델!$E$26*(2*모델!$E$29*모델!$E$28*모델!$E$30*설정!$B$59+2*MAX(0,모델!$E$31-1)*모델!$E$52*설정!$B$57+(모델!$E$52+2*모델!$E$29+모델!$E$29*모델!$E$30)*설정!$B$57)</f>
        <v>0</v>
      </c>
      <c r="I185" s="2"/>
    </row>
    <row r="186" customFormat="false" ht="17.15" hidden="false" customHeight="false" outlineLevel="0" collapsed="false">
      <c r="A186" s="30" t="s">
        <v>369</v>
      </c>
      <c r="B186" s="68" t="n">
        <f aca="false">MAX(B184/설정!$B$69,B185/설정!$B$60)*1000</f>
        <v>0</v>
      </c>
      <c r="C186" s="68" t="n">
        <f aca="false">MAX(C184/설정!$B$69,C185/설정!$B$60)*1000</f>
        <v>0</v>
      </c>
      <c r="D186" s="68" t="n">
        <f aca="false">MAX(D184/설정!$B$69,D185/설정!$B$60)*1000</f>
        <v>0</v>
      </c>
      <c r="E186" s="68" t="n">
        <f aca="false">MAX(E184/설정!$B$69,E185/설정!$B$60)*1000</f>
        <v>0</v>
      </c>
      <c r="F186" s="68" t="n">
        <f aca="false">MAX(F184/설정!$B$69,F185/설정!$B$60)*1000</f>
        <v>0</v>
      </c>
      <c r="G186" s="68" t="n">
        <f aca="false">MAX(G184/설정!$B$69,G185/설정!$B$60)*1000</f>
        <v>0</v>
      </c>
      <c r="H186" s="68" t="n">
        <f aca="false">MAX(H184/설정!$B$69,H185/설정!$B$60)*1000</f>
        <v>0</v>
      </c>
      <c r="I186" s="2"/>
    </row>
    <row r="187" customFormat="false" ht="17.15" hidden="false" customHeight="false" outlineLevel="0" collapsed="false">
      <c r="A187" s="30" t="s">
        <v>370</v>
      </c>
      <c r="B187" s="68" t="n">
        <f aca="false">모델!$E$49*IF(설정!$B$40="CPU",설정!$B$41/1000+((1)*모델!$E$36*설정!$B$43/8+(1)*모델!$E$37*설정!$B$44)/(설정!$B$42*1000000000)*1000+(1)*모델!$E$36*설정!$B$45/1000000,설정!$B$46/1000)</f>
        <v>3.008592</v>
      </c>
      <c r="C187" s="68" t="n">
        <f aca="false">모델!$E$49*IF(설정!$B$40="CPU",설정!$B$41/1000+((1)*모델!$E$36*설정!$B$43/8+(1)*모델!$E$37*설정!$B$44)/(설정!$B$42*1000000000)*1000+(1)*모델!$E$36*설정!$B$45/1000000,설정!$B$46/1000)</f>
        <v>3.008592</v>
      </c>
      <c r="D187" s="68" t="n">
        <f aca="false">모델!$E$49*IF(설정!$B$40="CPU",설정!$B$41/1000+((1)*모델!$E$36*설정!$B$43/8+(1)*모델!$E$37*설정!$B$44)/(설정!$B$42*1000000000)*1000+(1)*모델!$E$36*설정!$B$45/1000000,설정!$B$46/1000)</f>
        <v>3.008592</v>
      </c>
      <c r="E187" s="68" t="n">
        <f aca="false">모델!$E$49*IF(설정!$B$40="CPU",설정!$B$41/1000+((1)*모델!$E$36*설정!$B$43/8+(1)*모델!$E$37*설정!$B$44)/(설정!$B$42*1000000000)*1000+(1)*모델!$E$36*설정!$B$45/1000000,설정!$B$46/1000)</f>
        <v>3.008592</v>
      </c>
      <c r="F187" s="68" t="n">
        <f aca="false">모델!$E$49*IF(설정!$B$40="CPU",설정!$B$41/1000+((1)*모델!$E$36*설정!$B$43/8+(1)*모델!$E$37*설정!$B$44)/(설정!$B$42*1000000000)*1000+(1)*모델!$E$36*설정!$B$45/1000000,설정!$B$46/1000)</f>
        <v>3.008592</v>
      </c>
      <c r="G187" s="68" t="n">
        <f aca="false">모델!$E$49*IF(설정!$B$40="CPU",설정!$B$41/1000+((1)*모델!$E$36*설정!$B$43/8+(1)*모델!$E$37*설정!$B$44)/(설정!$B$42*1000000000)*1000+(1)*모델!$E$36*설정!$B$45/1000000,설정!$B$46/1000)</f>
        <v>3.008592</v>
      </c>
      <c r="H187" s="68" t="n">
        <f aca="false">모델!$E$49*IF(설정!$B$40="CPU",설정!$B$41/1000+((1)*모델!$E$36*설정!$B$43/8+(1)*모델!$E$37*설정!$B$44)/(설정!$B$42*1000000000)*1000+(1)*모델!$E$36*설정!$B$45/1000000,설정!$B$46/1000)</f>
        <v>3.008592</v>
      </c>
      <c r="I187" s="2"/>
    </row>
    <row r="188" customFormat="false" ht="17.15" hidden="false" customHeight="false" outlineLevel="0" collapsed="false">
      <c r="A188" s="33" t="s">
        <v>354</v>
      </c>
      <c r="B188" s="64" t="n">
        <f aca="false">B119+B122+B125+B128+B131+B134+B137+B140+B143+B146+B149+B152+B155+B158+B161+B164+B167+B170+B173+B176</f>
        <v>38.8252385882353</v>
      </c>
      <c r="C188" s="64" t="n">
        <f aca="false">C119+C122+C125+C128+C131+C134+C137+C140+C143+C146+C149+C152+C155+C158+C161+C164+C167+C170+C173+C176</f>
        <v>38.8252385882353</v>
      </c>
      <c r="D188" s="64" t="n">
        <f aca="false">D119+D122+D125+D128+D131+D134+D137+D140+D143+D146+D149+D152+D155+D158+D161+D164+D167+D170+D173+D176</f>
        <v>38.8252385882353</v>
      </c>
      <c r="E188" s="64" t="n">
        <f aca="false">E119+E122+E125+E128+E131+E134+E137+E140+E143+E146+E149+E152+E155+E158+E161+E164+E167+E170+E173+E176</f>
        <v>38.8252385882353</v>
      </c>
      <c r="F188" s="64" t="n">
        <f aca="false">F119+F122+F125+F128+F131+F134+F137+F140+F143+F146+F149+F152+F155+F158+F161+F164+F167+F170+F173+F176</f>
        <v>38.8252385882353</v>
      </c>
      <c r="G188" s="64" t="n">
        <f aca="false">G119+G122+G125+G128+G131+G134+G137+G140+G143+G146+G149+G152+G155+G158+G161+G164+G167+G170+G173+G176</f>
        <v>38.8252385882353</v>
      </c>
      <c r="H188" s="64" t="n">
        <f aca="false">H119+H122+H125+H128+H131+H134+H137+H140+H143+H146+H149+H152+H155+H158+H161+H164+H167+H170+H173+H176</f>
        <v>38.8252385882353</v>
      </c>
      <c r="I188" s="2"/>
    </row>
    <row r="189" customFormat="false" ht="17.15" hidden="false" customHeight="false" outlineLevel="0" collapsed="false">
      <c r="A189" s="33" t="s">
        <v>371</v>
      </c>
      <c r="B189" s="64" t="n">
        <f aca="false">B179+B183+B186</f>
        <v>0.571030588235294</v>
      </c>
      <c r="C189" s="64" t="n">
        <f aca="false">C179+C183+C186</f>
        <v>0.853734901960784</v>
      </c>
      <c r="D189" s="64" t="n">
        <f aca="false">D179+D183+D186</f>
        <v>1.41914352941176</v>
      </c>
      <c r="E189" s="64" t="n">
        <f aca="false">E179+E183+E186</f>
        <v>2.2929568627451</v>
      </c>
      <c r="F189" s="64" t="n">
        <f aca="false">F179+F183+F186</f>
        <v>2.49856</v>
      </c>
      <c r="G189" s="64" t="n">
        <f aca="false">G179+G183+G186</f>
        <v>2.9097662745098</v>
      </c>
      <c r="H189" s="64" t="n">
        <f aca="false">H179+H183+H186</f>
        <v>3.73217882352941</v>
      </c>
      <c r="I189" s="2"/>
    </row>
    <row r="190" customFormat="false" ht="17.15" hidden="false" customHeight="false" outlineLevel="0" collapsed="false">
      <c r="A190" s="33" t="s">
        <v>372</v>
      </c>
      <c r="B190" s="68" t="n">
        <f aca="false">(B118+B121+B124+B127+B130+B133+B136+B139+B142+B145+B148+B151+B154+B157+B160+B163+B166+B169+B172+B175+B178+B182+B185)/1000000000</f>
        <v>2.009209728</v>
      </c>
      <c r="C190" s="68" t="n">
        <f aca="false">(C118+C121+C124+C127+C130+C133+C136+C139+C142+C145+C148+C151+C154+C157+C160+C163+C166+C169+C172+C175+C178+C182+C185)/1000000000</f>
        <v>2.023627648</v>
      </c>
      <c r="D190" s="68" t="n">
        <f aca="false">(D118+D121+D124+D127+D130+D133+D136+D139+D142+D145+D148+D151+D154+D157+D160+D163+D166+D169+D172+D175+D178+D182+D185)/1000000000</f>
        <v>2.052463488</v>
      </c>
      <c r="E190" s="68" t="n">
        <f aca="false">(E118+E121+E124+E127+E130+E133+E136+E139+E142+E145+E148+E151+E154+E157+E160+E163+E166+E169+E172+E175+E178+E182+E185)/1000000000</f>
        <v>2.097027968</v>
      </c>
      <c r="F190" s="68" t="n">
        <f aca="false">(F118+F121+F124+F127+F130+F133+F136+F139+F142+F145+F148+F151+F154+F157+F160+F163+F166+F169+F172+F175+F178+F182+F185)/1000000000</f>
        <v>2.107513728</v>
      </c>
      <c r="G190" s="68" t="n">
        <f aca="false">(G118+G121+G124+G127+G130+G133+G136+G139+G142+G145+G148+G151+G154+G157+G160+G163+G166+G169+G172+G175+G178+G182+G185)/1000000000</f>
        <v>2.128485248</v>
      </c>
      <c r="H190" s="68" t="n">
        <f aca="false">(H118+H121+H124+H127+H130+H133+H136+H139+H142+H145+H148+H151+H154+H157+H160+H163+H166+H169+H172+H175+H178+H182+H185)/1000000000</f>
        <v>2.170428288</v>
      </c>
      <c r="I190" s="2"/>
    </row>
    <row r="191" customFormat="false" ht="17.15" hidden="false" customHeight="false" outlineLevel="0" collapsed="false">
      <c r="A191" s="7" t="s">
        <v>373</v>
      </c>
      <c r="B191" s="74" t="n">
        <f aca="false">(B188+B189)*(1+설정!$B$14)+B187+설정!$B$16</f>
        <v>46.3444880941176</v>
      </c>
      <c r="C191" s="74" t="n">
        <f aca="false">(C188+C189)*(1+설정!$B$14)+C187+설정!$B$16</f>
        <v>46.6554628392157</v>
      </c>
      <c r="D191" s="74" t="n">
        <f aca="false">(D188+D189)*(1+설정!$B$14)+D187+설정!$B$16</f>
        <v>47.2774123294118</v>
      </c>
      <c r="E191" s="74" t="n">
        <f aca="false">(E188+E189)*(1+설정!$B$14)+E187+설정!$B$16</f>
        <v>48.2386069960784</v>
      </c>
      <c r="F191" s="74" t="n">
        <f aca="false">(F188+F189)*(1+설정!$B$14)+F187+설정!$B$16</f>
        <v>48.4647704470588</v>
      </c>
      <c r="G191" s="74" t="n">
        <f aca="false">(G188+G189)*(1+설정!$B$14)+G187+설정!$B$16</f>
        <v>48.9170973490196</v>
      </c>
      <c r="H191" s="74" t="n">
        <f aca="false">(H188+H189)*(1+설정!$B$14)+H187+설정!$B$16</f>
        <v>49.8217511529412</v>
      </c>
      <c r="I191" s="2"/>
    </row>
    <row r="192" customFormat="false" ht="15" hidden="false" customHeight="false" outlineLevel="0" collapsed="false">
      <c r="A192" s="16" t="s">
        <v>15</v>
      </c>
      <c r="B192" s="71" t="n">
        <f aca="false">1000/B191</f>
        <v>21.5775390154094</v>
      </c>
      <c r="C192" s="71" t="n">
        <f aca="false">1000/C191</f>
        <v>21.4337172786434</v>
      </c>
      <c r="D192" s="71" t="n">
        <f aca="false">1000/D191</f>
        <v>21.151749868042</v>
      </c>
      <c r="E192" s="71" t="n">
        <f aca="false">1000/E191</f>
        <v>20.7302835274927</v>
      </c>
      <c r="F192" s="71" t="n">
        <f aca="false">1000/F191</f>
        <v>20.6335445474226</v>
      </c>
      <c r="G192" s="71" t="n">
        <f aca="false">1000/G191</f>
        <v>20.4427501669831</v>
      </c>
      <c r="H192" s="71" t="n">
        <f aca="false">1000/H191</f>
        <v>20.0715546294275</v>
      </c>
      <c r="I192" s="2"/>
    </row>
    <row r="193" customFormat="false" ht="17.15" hidden="false" customHeight="false" outlineLevel="0" collapsed="false">
      <c r="A193" s="33" t="s">
        <v>374</v>
      </c>
      <c r="B193" s="72" t="n">
        <f aca="false">B187/B191</f>
        <v>0.0649180112614486</v>
      </c>
      <c r="C193" s="72" t="n">
        <f aca="false">C187/C191</f>
        <v>0.0644853103347882</v>
      </c>
      <c r="D193" s="72" t="n">
        <f aca="false">D187/D191</f>
        <v>0.0636369854389921</v>
      </c>
      <c r="E193" s="72" t="n">
        <f aca="false">E187/E191</f>
        <v>0.0623689651785464</v>
      </c>
      <c r="F193" s="72" t="n">
        <f aca="false">F187/F191</f>
        <v>0.0620779170570194</v>
      </c>
      <c r="G193" s="72" t="n">
        <f aca="false">G187/G191</f>
        <v>0.0615038946103841</v>
      </c>
      <c r="H193" s="72" t="n">
        <f aca="false">H187/H191</f>
        <v>0.0603871186856585</v>
      </c>
      <c r="I193" s="2"/>
    </row>
    <row r="194" customFormat="false" ht="17.15" hidden="false" customHeight="false" outlineLevel="0" collapsed="false">
      <c r="A194" s="33" t="s">
        <v>375</v>
      </c>
      <c r="B194" s="72" t="n">
        <f aca="false">B186*(1+설정!$B$14)/B191</f>
        <v>0</v>
      </c>
      <c r="C194" s="72" t="n">
        <f aca="false">C186*(1+설정!$B$14)/C191</f>
        <v>0</v>
      </c>
      <c r="D194" s="72" t="n">
        <f aca="false">D186*(1+설정!$B$14)/D191</f>
        <v>0</v>
      </c>
      <c r="E194" s="72" t="n">
        <f aca="false">E186*(1+설정!$B$14)/E191</f>
        <v>0</v>
      </c>
      <c r="F194" s="72" t="n">
        <f aca="false">F186*(1+설정!$B$14)/F191</f>
        <v>0</v>
      </c>
      <c r="G194" s="72" t="n">
        <f aca="false">G186*(1+설정!$B$14)/G191</f>
        <v>0</v>
      </c>
      <c r="H194" s="72" t="n">
        <f aca="false">H186*(1+설정!$B$14)/H191</f>
        <v>0</v>
      </c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7.15" hidden="false" customHeight="false" outlineLevel="0" collapsed="false">
      <c r="A196" s="28" t="s">
        <v>376</v>
      </c>
      <c r="B196" s="29"/>
      <c r="C196" s="29"/>
      <c r="D196" s="29"/>
      <c r="E196" s="29"/>
      <c r="F196" s="29"/>
      <c r="G196" s="29"/>
      <c r="H196" s="29"/>
      <c r="I196" s="29"/>
    </row>
    <row r="197" customFormat="false" ht="15" hidden="false" customHeight="false" outlineLevel="0" collapsed="false">
      <c r="A197" s="7" t="s">
        <v>377</v>
      </c>
      <c r="B197" s="73" t="n">
        <f aca="false">설정!$B$54+설정!$B$51/2</f>
        <v>256</v>
      </c>
      <c r="C197" s="73" t="n">
        <f aca="false">설정!$C$54+설정!$B$51/2</f>
        <v>384</v>
      </c>
      <c r="D197" s="73" t="n">
        <f aca="false">설정!$D$54+설정!$B$51/2</f>
        <v>640</v>
      </c>
      <c r="E197" s="73" t="n">
        <f aca="false">설정!$E$54+설정!$B$51/2</f>
        <v>1152</v>
      </c>
      <c r="F197" s="73" t="n">
        <f aca="false">설정!$F$54+설정!$B$51/2</f>
        <v>2176</v>
      </c>
      <c r="G197" s="73" t="n">
        <f aca="false">설정!$G$54+설정!$B$51/2</f>
        <v>4224</v>
      </c>
      <c r="H197" s="73" t="n">
        <f aca="false">설정!$H$54+설정!$B$51/2</f>
        <v>8320</v>
      </c>
      <c r="I197" s="2"/>
    </row>
    <row r="198" customFormat="false" ht="17.15" hidden="false" customHeight="false" outlineLevel="0" collapsed="false">
      <c r="A198" s="30" t="s">
        <v>378</v>
      </c>
      <c r="B198" s="68" t="n">
        <f aca="false">MAX(모델!$E$12*4*모델!$E$13*모델!$E$15*B197/설정!$B$68,모델!$E$12*(B197*2*모델!$E$14*모델!$E$15*설정!$B$58+2*모델!$E$13*모델!$E$15*설정!$B$57)/설정!$B$60)*1000</f>
        <v>0.0530070588235294</v>
      </c>
      <c r="C198" s="68" t="n">
        <f aca="false">MAX(모델!$E$12*4*모델!$E$13*모델!$E$15*C197/설정!$B$68,모델!$E$12*(C197*2*모델!$E$14*모델!$E$15*설정!$B$58+2*모델!$E$13*모델!$E$15*설정!$B$57)/설정!$B$60)*1000</f>
        <v>0.0787074509803922</v>
      </c>
      <c r="D198" s="68" t="n">
        <f aca="false">MAX(모델!$E$12*4*모델!$E$13*모델!$E$15*D197/설정!$B$68,모델!$E$12*(D197*2*모델!$E$14*모델!$E$15*설정!$B$58+2*모델!$E$13*모델!$E$15*설정!$B$57)/설정!$B$60)*1000</f>
        <v>0.130108235294118</v>
      </c>
      <c r="E198" s="68" t="n">
        <f aca="false">MAX(모델!$E$12*4*모델!$E$13*모델!$E$15*E197/설정!$B$68,모델!$E$12*(E197*2*모델!$E$14*모델!$E$15*설정!$B$58+2*모델!$E$13*모델!$E$15*설정!$B$57)/설정!$B$60)*1000</f>
        <v>0.232909803921569</v>
      </c>
      <c r="F198" s="68" t="n">
        <f aca="false">MAX(모델!$E$12*4*모델!$E$13*모델!$E$15*F197/설정!$B$68,모델!$E$12*(F197*2*모델!$E$14*모델!$E$15*설정!$B$58+2*모델!$E$13*모델!$E$15*설정!$B$57)/설정!$B$60)*1000</f>
        <v>0.438512941176471</v>
      </c>
      <c r="G198" s="68" t="n">
        <f aca="false">MAX(모델!$E$12*4*모델!$E$13*모델!$E$15*G197/설정!$B$68,모델!$E$12*(G197*2*모델!$E$14*모델!$E$15*설정!$B$58+2*모델!$E$13*모델!$E$15*설정!$B$57)/설정!$B$60)*1000</f>
        <v>0.849719215686275</v>
      </c>
      <c r="H198" s="68" t="n">
        <f aca="false">MAX(모델!$E$12*4*모델!$E$13*모델!$E$15*H197/설정!$B$68,모델!$E$12*(H197*2*모델!$E$14*모델!$E$15*설정!$B$58+2*모델!$E$13*모델!$E$15*설정!$B$57)/설정!$B$60)*1000</f>
        <v>1.67213176470588</v>
      </c>
      <c r="I198" s="2"/>
    </row>
    <row r="199" customFormat="false" ht="17.15" hidden="false" customHeight="false" outlineLevel="0" collapsed="false">
      <c r="A199" s="30" t="s">
        <v>379</v>
      </c>
      <c r="B199" s="68" t="n">
        <f aca="false">MAX(모델!$E$19*4*모델!$E$21*모델!$E$23*MIN(B197,모델!$E$20)/설정!$B$68,모델!$E$19*(MIN(B197,모델!$E$20)*2*모델!$E$22*모델!$E$23*설정!$B$58+2*모델!$E$21*모델!$E$23*설정!$B$57)/설정!$B$60)*1000</f>
        <v>0.518023529411765</v>
      </c>
      <c r="C199" s="68" t="n">
        <f aca="false">MAX(모델!$E$19*4*모델!$E$21*모델!$E$23*MIN(C197,모델!$E$20)/설정!$B$68,모델!$E$19*(MIN(C197,모델!$E$20)*2*모델!$E$22*모델!$E$23*설정!$B$58+2*모델!$E$21*모델!$E$23*설정!$B$57)/설정!$B$60)*1000</f>
        <v>0.775027450980392</v>
      </c>
      <c r="D199" s="68" t="n">
        <f aca="false">MAX(모델!$E$19*4*모델!$E$21*모델!$E$23*MIN(D197,모델!$E$20)/설정!$B$68,모델!$E$19*(MIN(D197,모델!$E$20)*2*모델!$E$22*모델!$E$23*설정!$B$58+2*모델!$E$21*모델!$E$23*설정!$B$57)/설정!$B$60)*1000</f>
        <v>1.28903529411765</v>
      </c>
      <c r="E199" s="68" t="n">
        <f aca="false">MAX(모델!$E$19*4*모델!$E$21*모델!$E$23*MIN(E197,모델!$E$20)/설정!$B$68,모델!$E$19*(MIN(E197,모델!$E$20)*2*모델!$E$22*모델!$E$23*설정!$B$58+2*모델!$E$21*모델!$E$23*설정!$B$57)/설정!$B$60)*1000</f>
        <v>2.06004705882353</v>
      </c>
      <c r="F199" s="68" t="n">
        <f aca="false">MAX(모델!$E$19*4*모델!$E$21*모델!$E$23*MIN(F197,모델!$E$20)/설정!$B$68,모델!$E$19*(MIN(F197,모델!$E$20)*2*모델!$E$22*모델!$E$23*설정!$B$58+2*모델!$E$21*모델!$E$23*설정!$B$57)/설정!$B$60)*1000</f>
        <v>2.06004705882353</v>
      </c>
      <c r="G199" s="68" t="n">
        <f aca="false">MAX(모델!$E$19*4*모델!$E$21*모델!$E$23*MIN(G197,모델!$E$20)/설정!$B$68,모델!$E$19*(MIN(G197,모델!$E$20)*2*모델!$E$22*모델!$E$23*설정!$B$58+2*모델!$E$21*모델!$E$23*설정!$B$57)/설정!$B$60)*1000</f>
        <v>2.06004705882353</v>
      </c>
      <c r="H199" s="68" t="n">
        <f aca="false">MAX(모델!$E$19*4*모델!$E$21*모델!$E$23*MIN(H197,모델!$E$20)/설정!$B$68,모델!$E$19*(MIN(H197,모델!$E$20)*2*모델!$E$22*모델!$E$23*설정!$B$58+2*모델!$E$21*모델!$E$23*설정!$B$57)/설정!$B$60)*1000</f>
        <v>2.06004705882353</v>
      </c>
      <c r="I199" s="2"/>
    </row>
    <row r="200" customFormat="false" ht="17.15" hidden="false" customHeight="false" outlineLevel="0" collapsed="false">
      <c r="A200" s="33" t="s">
        <v>380</v>
      </c>
      <c r="B200" s="75" t="n">
        <f aca="false">(B188+B198+B199+B186)*(1+설정!$B$14)+B187+설정!$B$16</f>
        <v>46.3444880941176</v>
      </c>
      <c r="C200" s="75" t="n">
        <f aca="false">(C188+C198+C199+C186)*(1+설정!$B$14)+C187+설정!$B$16</f>
        <v>46.6554628392157</v>
      </c>
      <c r="D200" s="75" t="n">
        <f aca="false">(D188+D198+D199+D186)*(1+설정!$B$14)+D187+설정!$B$16</f>
        <v>47.2774123294118</v>
      </c>
      <c r="E200" s="75" t="n">
        <f aca="false">(E188+E198+E199+E186)*(1+설정!$B$14)+E187+설정!$B$16</f>
        <v>48.2386069960784</v>
      </c>
      <c r="F200" s="75" t="n">
        <f aca="false">(F188+F198+F199+F186)*(1+설정!$B$14)+F187+설정!$B$16</f>
        <v>48.4647704470588</v>
      </c>
      <c r="G200" s="75" t="n">
        <f aca="false">(G188+G198+G199+G186)*(1+설정!$B$14)+G187+설정!$B$16</f>
        <v>48.9170973490196</v>
      </c>
      <c r="H200" s="75" t="n">
        <f aca="false">(H188+H198+H199+H186)*(1+설정!$B$14)+H187+설정!$B$16</f>
        <v>49.8217511529412</v>
      </c>
      <c r="I200" s="2"/>
    </row>
    <row r="201" customFormat="false" ht="17.15" hidden="false" customHeight="false" outlineLevel="0" collapsed="false">
      <c r="A201" s="7" t="s">
        <v>381</v>
      </c>
      <c r="B201" s="74" t="n">
        <f aca="false">(B111+MAX(0,설정!$B$51-1)*B200)/1000</f>
        <v>12.1141693167687</v>
      </c>
      <c r="C201" s="74" t="n">
        <f aca="false">(C111+MAX(0,설정!$B$51-1)*C200)/1000</f>
        <v>12.2202459643556</v>
      </c>
      <c r="D201" s="74" t="n">
        <f aca="false">(D111+MAX(0,설정!$B$51-1)*D200)/1000</f>
        <v>12.4362927447065</v>
      </c>
      <c r="E201" s="74" t="n">
        <f aca="false">(E111+MAX(0,설정!$B$51-1)*E200)/1000</f>
        <v>12.8012556443934</v>
      </c>
      <c r="F201" s="74" t="n">
        <f aca="false">(F111+MAX(0,설정!$B$51-1)*F200)/1000</f>
        <v>13.1116043664891</v>
      </c>
      <c r="G201" s="74" t="n">
        <f aca="false">(G111+MAX(0,설정!$B$51-1)*G200)/1000</f>
        <v>13.8139650791831</v>
      </c>
      <c r="H201" s="74" t="n">
        <f aca="false">(H111+MAX(0,설정!$B$51-1)*H200)/1000</f>
        <v>15.5091234597672</v>
      </c>
      <c r="I201" s="32" t="s">
        <v>382</v>
      </c>
    </row>
    <row r="202" customFormat="false" ht="17.15" hidden="false" customHeight="false" outlineLevel="0" collapsed="false">
      <c r="A202" s="33" t="s">
        <v>383</v>
      </c>
      <c r="B202" s="66" t="n">
        <f aca="false">설정!$B$51/B201</f>
        <v>21.1322785166655</v>
      </c>
      <c r="C202" s="66" t="n">
        <f aca="false">설정!$B$51/C201</f>
        <v>20.948841843831</v>
      </c>
      <c r="D202" s="66" t="n">
        <f aca="false">설정!$B$51/D201</f>
        <v>20.5849126628968</v>
      </c>
      <c r="E202" s="66" t="n">
        <f aca="false">설정!$B$51/E201</f>
        <v>19.9980382480777</v>
      </c>
      <c r="F202" s="66" t="n">
        <f aca="false">설정!$B$51/F201</f>
        <v>19.5246891871059</v>
      </c>
      <c r="G202" s="66" t="n">
        <f aca="false">설정!$B$51/G201</f>
        <v>18.5319709824501</v>
      </c>
      <c r="H202" s="66" t="n">
        <f aca="false">설정!$B$51/H201</f>
        <v>16.5064131873151</v>
      </c>
      <c r="I202" s="2"/>
    </row>
    <row r="203" customFormat="false" ht="17.15" hidden="false" customHeight="false" outlineLevel="0" collapsed="false">
      <c r="A203" s="33" t="s">
        <v>384</v>
      </c>
      <c r="B203" s="72" t="n">
        <f aca="false">B111/1000/B201</f>
        <v>0.024461012969211</v>
      </c>
      <c r="C203" s="72" t="n">
        <f aca="false">C111/1000/C201</f>
        <v>0.0264399702999499</v>
      </c>
      <c r="D203" s="72" t="n">
        <f aca="false">D111/1000/D201</f>
        <v>0.030600164254616</v>
      </c>
      <c r="E203" s="72" t="n">
        <f aca="false">E111/1000/E201</f>
        <v>0.0390907637730505</v>
      </c>
      <c r="F203" s="72" t="n">
        <f aca="false">F111/1000/F201</f>
        <v>0.0574367469791764</v>
      </c>
      <c r="G203" s="72" t="n">
        <f aca="false">G111/1000/G201</f>
        <v>0.0970109050878179</v>
      </c>
      <c r="H203" s="72" t="n">
        <f aca="false">H111/1000/H201</f>
        <v>0.180834005418983</v>
      </c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7.15" hidden="false" customHeight="false" outlineLevel="0" collapsed="false">
      <c r="A205" s="40" t="s">
        <v>385</v>
      </c>
      <c r="B205" s="29"/>
      <c r="C205" s="29"/>
      <c r="D205" s="29"/>
      <c r="E205" s="29"/>
      <c r="F205" s="29"/>
      <c r="G205" s="29"/>
      <c r="H205" s="29"/>
      <c r="I205" s="29"/>
    </row>
    <row r="206" customFormat="false" ht="15" hidden="false" customHeight="false" outlineLevel="0" collapsed="false">
      <c r="A206" s="7" t="s">
        <v>386</v>
      </c>
      <c r="B206" s="73" t="n">
        <f aca="false">설정!$B$54+설정!$B$51</f>
        <v>384</v>
      </c>
      <c r="C206" s="73" t="n">
        <f aca="false">설정!$C$54+설정!$B$51</f>
        <v>512</v>
      </c>
      <c r="D206" s="73" t="n">
        <f aca="false">설정!$D$54+설정!$B$51</f>
        <v>768</v>
      </c>
      <c r="E206" s="73" t="n">
        <f aca="false">설정!$E$54+설정!$B$51</f>
        <v>1280</v>
      </c>
      <c r="F206" s="73" t="n">
        <f aca="false">설정!$F$54+설정!$B$51</f>
        <v>2304</v>
      </c>
      <c r="G206" s="73" t="n">
        <f aca="false">설정!$G$54+설정!$B$51</f>
        <v>4352</v>
      </c>
      <c r="H206" s="73" t="n">
        <f aca="false">설정!$H$54+설정!$B$51</f>
        <v>8448</v>
      </c>
      <c r="I206" s="2"/>
    </row>
    <row r="207" customFormat="false" ht="17.15" hidden="false" customHeight="false" outlineLevel="0" collapsed="false">
      <c r="A207" s="33" t="s">
        <v>387</v>
      </c>
      <c r="B207" s="64" t="n">
        <f aca="false">모델!$E$61*1000000000/1073741824</f>
        <v>12.1219868659973</v>
      </c>
      <c r="C207" s="64" t="n">
        <f aca="false">모델!$E$61*1000000000/1073741824</f>
        <v>12.1219868659973</v>
      </c>
      <c r="D207" s="64" t="n">
        <f aca="false">모델!$E$61*1000000000/1073741824</f>
        <v>12.1219868659973</v>
      </c>
      <c r="E207" s="64" t="n">
        <f aca="false">모델!$E$61*1000000000/1073741824</f>
        <v>12.1219868659973</v>
      </c>
      <c r="F207" s="64" t="n">
        <f aca="false">모델!$E$61*1000000000/1073741824</f>
        <v>12.1219868659973</v>
      </c>
      <c r="G207" s="64" t="n">
        <f aca="false">모델!$E$61*1000000000/1073741824</f>
        <v>12.1219868659973</v>
      </c>
      <c r="H207" s="64" t="n">
        <f aca="false">모델!$E$61*1000000000/1073741824</f>
        <v>12.1219868659973</v>
      </c>
      <c r="I207" s="2"/>
    </row>
    <row r="208" customFormat="false" ht="15" hidden="false" customHeight="false" outlineLevel="0" collapsed="false">
      <c r="A208" s="30" t="s">
        <v>388</v>
      </c>
      <c r="B208" s="68" t="n">
        <f aca="false">(모델!$E$12*2*모델!$E$14*모델!$E$15*설정!$B$58*B206+모델!$E$19*2*모델!$E$22*모델!$E$23*설정!$B$58*MIN(B206,모델!$E$20)+모델!$E$26*(모델!$E$29*모델!$E$28*모델!$E$30*설정!$B$59+MAX(0,모델!$E$31-1)*모델!$E$52*설정!$B$57))/1073741824</f>
        <v>0.040283203125</v>
      </c>
      <c r="C208" s="68" t="n">
        <f aca="false">(모델!$E$12*2*모델!$E$14*모델!$E$15*설정!$B$58*C206+모델!$E$19*2*모델!$E$22*모델!$E$23*설정!$B$58*MIN(C206,모델!$E$20)+모델!$E$26*(모델!$E$29*모델!$E$28*모델!$E$30*설정!$B$59+MAX(0,모델!$E$31-1)*모델!$E$52*설정!$B$57))/1073741824</f>
        <v>0.0537109375</v>
      </c>
      <c r="D208" s="68" t="n">
        <f aca="false">(모델!$E$12*2*모델!$E$14*모델!$E$15*설정!$B$58*D206+모델!$E$19*2*모델!$E$22*모델!$E$23*설정!$B$58*MIN(D206,모델!$E$20)+모델!$E$26*(모델!$E$29*모델!$E$28*모델!$E$30*설정!$B$59+MAX(0,모델!$E$31-1)*모델!$E$52*설정!$B$57))/1073741824</f>
        <v>0.08056640625</v>
      </c>
      <c r="E208" s="68" t="n">
        <f aca="false">(모델!$E$12*2*모델!$E$14*모델!$E$15*설정!$B$58*E206+모델!$E$19*2*모델!$E$22*모델!$E$23*설정!$B$58*MIN(E206,모델!$E$20)+모델!$E$26*(모델!$E$29*모델!$E$28*모델!$E$30*설정!$B$59+MAX(0,모델!$E$31-1)*모델!$E$52*설정!$B$57))/1073741824</f>
        <v>0.10986328125</v>
      </c>
      <c r="F208" s="68" t="n">
        <f aca="false">(모델!$E$12*2*모델!$E$14*모델!$E$15*설정!$B$58*F206+모델!$E$19*2*모델!$E$22*모델!$E$23*설정!$B$58*MIN(F206,모델!$E$20)+모델!$E$26*(모델!$E$29*모델!$E$28*모델!$E$30*설정!$B$59+MAX(0,모델!$E$31-1)*모델!$E$52*설정!$B$57))/1073741824</f>
        <v>0.11962890625</v>
      </c>
      <c r="G208" s="68" t="n">
        <f aca="false">(모델!$E$12*2*모델!$E$14*모델!$E$15*설정!$B$58*G206+모델!$E$19*2*모델!$E$22*모델!$E$23*설정!$B$58*MIN(G206,모델!$E$20)+모델!$E$26*(모델!$E$29*모델!$E$28*모델!$E$30*설정!$B$59+MAX(0,모델!$E$31-1)*모델!$E$52*설정!$B$57))/1073741824</f>
        <v>0.13916015625</v>
      </c>
      <c r="H208" s="68" t="n">
        <f aca="false">(모델!$E$12*2*모델!$E$14*모델!$E$15*설정!$B$58*H206+모델!$E$19*2*모델!$E$22*모델!$E$23*설정!$B$58*MIN(H206,모델!$E$20)+모델!$E$26*(모델!$E$29*모델!$E$28*모델!$E$30*설정!$B$59+MAX(0,모델!$E$31-1)*모델!$E$52*설정!$B$57))/1073741824</f>
        <v>0.17822265625</v>
      </c>
      <c r="I208" s="2"/>
    </row>
    <row r="209" customFormat="false" ht="17.15" hidden="false" customHeight="false" outlineLevel="0" collapsed="false">
      <c r="A209" s="33" t="s">
        <v>389</v>
      </c>
      <c r="B209" s="64" t="n">
        <f aca="false">설정!$B$13</f>
        <v>0.5</v>
      </c>
      <c r="C209" s="64" t="n">
        <f aca="false">설정!$B$13</f>
        <v>0.5</v>
      </c>
      <c r="D209" s="64" t="n">
        <f aca="false">설정!$B$13</f>
        <v>0.5</v>
      </c>
      <c r="E209" s="64" t="n">
        <f aca="false">설정!$B$13</f>
        <v>0.5</v>
      </c>
      <c r="F209" s="64" t="n">
        <f aca="false">설정!$B$13</f>
        <v>0.5</v>
      </c>
      <c r="G209" s="64" t="n">
        <f aca="false">설정!$B$13</f>
        <v>0.5</v>
      </c>
      <c r="H209" s="64" t="n">
        <f aca="false">설정!$B$13</f>
        <v>0.5</v>
      </c>
      <c r="I209" s="2"/>
    </row>
    <row r="210" customFormat="false" ht="17.15" hidden="false" customHeight="false" outlineLevel="0" collapsed="false">
      <c r="A210" s="7" t="s">
        <v>390</v>
      </c>
      <c r="B210" s="76" t="n">
        <f aca="false">B207+B208+B209</f>
        <v>12.6622700691223</v>
      </c>
      <c r="C210" s="76" t="n">
        <f aca="false">C207+C208+C209</f>
        <v>12.6756978034973</v>
      </c>
      <c r="D210" s="76" t="n">
        <f aca="false">D207+D208+D209</f>
        <v>12.7025532722473</v>
      </c>
      <c r="E210" s="76" t="n">
        <f aca="false">E207+E208+E209</f>
        <v>12.7318501472473</v>
      </c>
      <c r="F210" s="76" t="n">
        <f aca="false">F207+F208+F209</f>
        <v>12.7416157722473</v>
      </c>
      <c r="G210" s="76" t="n">
        <f aca="false">G207+G208+G209</f>
        <v>12.7611470222473</v>
      </c>
      <c r="H210" s="76" t="n">
        <f aca="false">H207+H208+H209</f>
        <v>12.8002095222473</v>
      </c>
      <c r="I210" s="2"/>
    </row>
    <row r="211" customFormat="false" ht="17.15" hidden="false" customHeight="false" outlineLevel="0" collapsed="false">
      <c r="A211" s="30" t="s">
        <v>391</v>
      </c>
      <c r="B211" s="70" t="str">
        <f aca="false">IF(B210&lt;=설정!$B$62,"OK +"&amp;TEXT(설정!$B$62-B210,"0.0"),"초과 -"&amp;TEXT(B210-설정!$B$62,"0.0"))</f>
        <v>OK +0.3</v>
      </c>
      <c r="C211" s="70" t="str">
        <f aca="false">IF(C210&lt;=설정!$B$62,"OK +"&amp;TEXT(설정!$B$62-C210,"0.0"),"초과 -"&amp;TEXT(C210-설정!$B$62,"0.0"))</f>
        <v>OK +0.3</v>
      </c>
      <c r="D211" s="70" t="str">
        <f aca="false">IF(D210&lt;=설정!$B$62,"OK +"&amp;TEXT(설정!$B$62-D210,"0.0"),"초과 -"&amp;TEXT(D210-설정!$B$62,"0.0"))</f>
        <v>OK +0.3</v>
      </c>
      <c r="E211" s="70" t="str">
        <f aca="false">IF(E210&lt;=설정!$B$62,"OK +"&amp;TEXT(설정!$B$62-E210,"0.0"),"초과 -"&amp;TEXT(E210-설정!$B$62,"0.0"))</f>
        <v>OK +0.3</v>
      </c>
      <c r="F211" s="70" t="str">
        <f aca="false">IF(F210&lt;=설정!$B$62,"OK +"&amp;TEXT(설정!$B$62-F210,"0.0"),"초과 -"&amp;TEXT(F210-설정!$B$62,"0.0"))</f>
        <v>OK +0.3</v>
      </c>
      <c r="G211" s="70" t="str">
        <f aca="false">IF(G210&lt;=설정!$B$62,"OK +"&amp;TEXT(설정!$B$62-G210,"0.0"),"초과 -"&amp;TEXT(G210-설정!$B$62,"0.0"))</f>
        <v>OK +0.2</v>
      </c>
      <c r="H211" s="70" t="str">
        <f aca="false">IF(H210&lt;=설정!$B$62,"OK +"&amp;TEXT(설정!$B$62-H210,"0.0"),"초과 -"&amp;TEXT(H210-설정!$B$62,"0.0"))</f>
        <v>OK +0.2</v>
      </c>
      <c r="I2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4"/>
  </cols>
  <sheetData>
    <row r="1" customFormat="false" ht="21.6" hidden="false" customHeight="false" outlineLevel="0" collapsed="false">
      <c r="A1" s="1" t="str">
        <f aca="false">모델!F6&amp;" — 계산 상세"</f>
        <v>Llama 3.2 3B Instruct — 계산 상세</v>
      </c>
      <c r="B1" s="2"/>
      <c r="C1" s="2"/>
      <c r="D1" s="2"/>
      <c r="E1" s="2"/>
      <c r="F1" s="2"/>
      <c r="G1" s="2"/>
      <c r="H1" s="2"/>
      <c r="I1" s="2"/>
    </row>
    <row r="2" customFormat="false" ht="17.15" hidden="false" customHeight="false" outlineLevel="0" collapsed="false">
      <c r="A2" s="27" t="s">
        <v>242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7.15" hidden="false" customHeight="false" outlineLevel="0" collapsed="false">
      <c r="A4" s="48" t="s">
        <v>243</v>
      </c>
      <c r="B4" s="35" t="s">
        <v>244</v>
      </c>
      <c r="C4" s="35" t="s">
        <v>245</v>
      </c>
      <c r="D4" s="48" t="s">
        <v>246</v>
      </c>
      <c r="E4" s="48" t="s">
        <v>247</v>
      </c>
      <c r="F4" s="48" t="s">
        <v>248</v>
      </c>
      <c r="G4" s="35" t="s">
        <v>61</v>
      </c>
      <c r="H4" s="35" t="s">
        <v>249</v>
      </c>
      <c r="I4" s="48" t="s">
        <v>250</v>
      </c>
    </row>
    <row r="5" customFormat="false" ht="15" hidden="false" customHeight="false" outlineLevel="0" collapsed="false">
      <c r="A5" s="30" t="s">
        <v>251</v>
      </c>
      <c r="B5" s="59" t="n">
        <f aca="false">모델!$F$8</f>
        <v>3072</v>
      </c>
      <c r="C5" s="59" t="n">
        <f aca="false">모델!$F$13*모델!$F$15*모델!$F$16</f>
        <v>3072</v>
      </c>
      <c r="D5" s="59" t="n">
        <f aca="false">모델!$F$12</f>
        <v>28</v>
      </c>
      <c r="E5" s="2" t="s">
        <v>252</v>
      </c>
      <c r="F5" s="2" t="s">
        <v>65</v>
      </c>
      <c r="G5" s="60" t="n">
        <f aca="false">설정!$B$27</f>
        <v>4</v>
      </c>
      <c r="H5" s="61" t="n">
        <f aca="false">(설정!$B$27/8+IF(설정!$C$27=0,설정!$D$27/8/MAX(1,$B$5),설정!$D$27/8/설정!$C$27))</f>
        <v>0.515625</v>
      </c>
      <c r="I5" s="62" t="n">
        <f aca="false">설정!$B$63</f>
        <v>24000000000000</v>
      </c>
    </row>
    <row r="6" customFormat="false" ht="15" hidden="false" customHeight="false" outlineLevel="0" collapsed="false">
      <c r="A6" s="30" t="s">
        <v>253</v>
      </c>
      <c r="B6" s="59" t="n">
        <f aca="false">모델!$F$8</f>
        <v>3072</v>
      </c>
      <c r="C6" s="59" t="n">
        <f aca="false">모델!$F$14*모델!$F$15</f>
        <v>1024</v>
      </c>
      <c r="D6" s="59" t="n">
        <f aca="false">모델!$F$12</f>
        <v>28</v>
      </c>
      <c r="E6" s="2" t="s">
        <v>252</v>
      </c>
      <c r="F6" s="2" t="s">
        <v>65</v>
      </c>
      <c r="G6" s="60" t="n">
        <f aca="false">설정!$B$27</f>
        <v>4</v>
      </c>
      <c r="H6" s="61" t="n">
        <f aca="false">(설정!$B$27/8+IF(설정!$C$27=0,설정!$D$27/8/MAX(1,$B$6),설정!$D$27/8/설정!$C$27))</f>
        <v>0.515625</v>
      </c>
      <c r="I6" s="62" t="n">
        <f aca="false">설정!$B$63</f>
        <v>24000000000000</v>
      </c>
    </row>
    <row r="7" customFormat="false" ht="15" hidden="false" customHeight="false" outlineLevel="0" collapsed="false">
      <c r="A7" s="30" t="s">
        <v>254</v>
      </c>
      <c r="B7" s="59" t="n">
        <f aca="false">모델!$F$8</f>
        <v>3072</v>
      </c>
      <c r="C7" s="59" t="n">
        <f aca="false">모델!$F$14*모델!$F$15</f>
        <v>1024</v>
      </c>
      <c r="D7" s="59" t="n">
        <f aca="false">모델!$F$12*모델!$F$17</f>
        <v>28</v>
      </c>
      <c r="E7" s="2" t="s">
        <v>252</v>
      </c>
      <c r="F7" s="2" t="s">
        <v>65</v>
      </c>
      <c r="G7" s="60" t="n">
        <f aca="false">설정!$B$27</f>
        <v>4</v>
      </c>
      <c r="H7" s="61" t="n">
        <f aca="false">(설정!$B$27/8+IF(설정!$C$27=0,설정!$D$27/8/MAX(1,$B$7),설정!$D$27/8/설정!$C$27))</f>
        <v>0.515625</v>
      </c>
      <c r="I7" s="62" t="n">
        <f aca="false">설정!$B$63</f>
        <v>24000000000000</v>
      </c>
    </row>
    <row r="8" customFormat="false" ht="15" hidden="false" customHeight="false" outlineLevel="0" collapsed="false">
      <c r="A8" s="30" t="s">
        <v>255</v>
      </c>
      <c r="B8" s="59" t="n">
        <f aca="false">모델!$F$13*모델!$F$15</f>
        <v>3072</v>
      </c>
      <c r="C8" s="59" t="n">
        <f aca="false">모델!$F$8</f>
        <v>3072</v>
      </c>
      <c r="D8" s="59" t="n">
        <f aca="false">모델!$F$12</f>
        <v>28</v>
      </c>
      <c r="E8" s="2" t="s">
        <v>252</v>
      </c>
      <c r="F8" s="2" t="s">
        <v>65</v>
      </c>
      <c r="G8" s="60" t="n">
        <f aca="false">설정!$B$27</f>
        <v>4</v>
      </c>
      <c r="H8" s="61" t="n">
        <f aca="false">(설정!$B$27/8+IF(설정!$C$27=0,설정!$D$27/8/MAX(1,$B$8),설정!$D$27/8/설정!$C$27))</f>
        <v>0.515625</v>
      </c>
      <c r="I8" s="62" t="n">
        <f aca="false">설정!$B$63</f>
        <v>24000000000000</v>
      </c>
    </row>
    <row r="9" customFormat="false" ht="15" hidden="false" customHeight="false" outlineLevel="0" collapsed="false">
      <c r="A9" s="30" t="s">
        <v>256</v>
      </c>
      <c r="B9" s="59" t="n">
        <f aca="false">모델!$F$8</f>
        <v>3072</v>
      </c>
      <c r="C9" s="59" t="n">
        <f aca="false">모델!$F$21*모델!$F$23</f>
        <v>0</v>
      </c>
      <c r="D9" s="59" t="n">
        <f aca="false">모델!$F$19</f>
        <v>0</v>
      </c>
      <c r="E9" s="2" t="s">
        <v>252</v>
      </c>
      <c r="F9" s="2" t="s">
        <v>65</v>
      </c>
      <c r="G9" s="60" t="n">
        <f aca="false">설정!$B$27</f>
        <v>4</v>
      </c>
      <c r="H9" s="61" t="n">
        <f aca="false">(설정!$B$27/8+IF(설정!$C$27=0,설정!$D$27/8/MAX(1,$B$9),설정!$D$27/8/설정!$C$27))</f>
        <v>0.515625</v>
      </c>
      <c r="I9" s="62" t="n">
        <f aca="false">설정!$B$63</f>
        <v>24000000000000</v>
      </c>
    </row>
    <row r="10" customFormat="false" ht="15" hidden="false" customHeight="false" outlineLevel="0" collapsed="false">
      <c r="A10" s="30" t="s">
        <v>257</v>
      </c>
      <c r="B10" s="59" t="n">
        <f aca="false">모델!$F$8</f>
        <v>3072</v>
      </c>
      <c r="C10" s="59" t="n">
        <f aca="false">모델!$F$22*모델!$F$23</f>
        <v>0</v>
      </c>
      <c r="D10" s="59" t="n">
        <f aca="false">모델!$F$19</f>
        <v>0</v>
      </c>
      <c r="E10" s="2" t="s">
        <v>252</v>
      </c>
      <c r="F10" s="2" t="s">
        <v>65</v>
      </c>
      <c r="G10" s="60" t="n">
        <f aca="false">설정!$B$27</f>
        <v>4</v>
      </c>
      <c r="H10" s="61" t="n">
        <f aca="false">(설정!$B$27/8+IF(설정!$C$27=0,설정!$D$27/8/MAX(1,$B$10),설정!$D$27/8/설정!$C$27))</f>
        <v>0.515625</v>
      </c>
      <c r="I10" s="62" t="n">
        <f aca="false">설정!$B$63</f>
        <v>24000000000000</v>
      </c>
    </row>
    <row r="11" customFormat="false" ht="15" hidden="false" customHeight="false" outlineLevel="0" collapsed="false">
      <c r="A11" s="30" t="s">
        <v>258</v>
      </c>
      <c r="B11" s="59" t="n">
        <f aca="false">모델!$F$8</f>
        <v>3072</v>
      </c>
      <c r="C11" s="59" t="n">
        <f aca="false">모델!$F$22*모델!$F$23</f>
        <v>0</v>
      </c>
      <c r="D11" s="59" t="n">
        <f aca="false">모델!$F$19*모델!$F$24</f>
        <v>0</v>
      </c>
      <c r="E11" s="2" t="s">
        <v>252</v>
      </c>
      <c r="F11" s="2" t="s">
        <v>65</v>
      </c>
      <c r="G11" s="60" t="n">
        <f aca="false">설정!$B$27</f>
        <v>4</v>
      </c>
      <c r="H11" s="61" t="n">
        <f aca="false">(설정!$B$27/8+IF(설정!$C$27=0,설정!$D$27/8/MAX(1,$B$11),설정!$D$27/8/설정!$C$27))</f>
        <v>0.515625</v>
      </c>
      <c r="I11" s="62" t="n">
        <f aca="false">설정!$B$63</f>
        <v>24000000000000</v>
      </c>
    </row>
    <row r="12" customFormat="false" ht="15" hidden="false" customHeight="false" outlineLevel="0" collapsed="false">
      <c r="A12" s="30" t="s">
        <v>259</v>
      </c>
      <c r="B12" s="59" t="n">
        <f aca="false">모델!$F$21*모델!$F$23</f>
        <v>0</v>
      </c>
      <c r="C12" s="59" t="n">
        <f aca="false">모델!$F$8</f>
        <v>3072</v>
      </c>
      <c r="D12" s="59" t="n">
        <f aca="false">모델!$F$19</f>
        <v>0</v>
      </c>
      <c r="E12" s="2" t="s">
        <v>252</v>
      </c>
      <c r="F12" s="2" t="s">
        <v>65</v>
      </c>
      <c r="G12" s="60" t="n">
        <f aca="false">설정!$B$27</f>
        <v>4</v>
      </c>
      <c r="H12" s="61" t="n">
        <f aca="false">(설정!$B$27/8+IF(설정!$C$27=0,설정!$D$27/8/MAX(1,$B$12),설정!$D$27/8/설정!$C$27))</f>
        <v>0.515625</v>
      </c>
      <c r="I12" s="62" t="n">
        <f aca="false">설정!$B$63</f>
        <v>24000000000000</v>
      </c>
    </row>
    <row r="13" customFormat="false" ht="15" hidden="false" customHeight="false" outlineLevel="0" collapsed="false">
      <c r="A13" s="30" t="s">
        <v>260</v>
      </c>
      <c r="B13" s="59" t="n">
        <f aca="false">모델!$F$8</f>
        <v>3072</v>
      </c>
      <c r="C13" s="59" t="n">
        <f aca="false">모델!$F$52</f>
        <v>0</v>
      </c>
      <c r="D13" s="59" t="n">
        <f aca="false">모델!$F$26</f>
        <v>0</v>
      </c>
      <c r="E13" s="2" t="s">
        <v>252</v>
      </c>
      <c r="F13" s="2" t="s">
        <v>67</v>
      </c>
      <c r="G13" s="60" t="n">
        <f aca="false">설정!$B$28</f>
        <v>4</v>
      </c>
      <c r="H13" s="61" t="n">
        <f aca="false">(설정!$B$28/8+IF(설정!$C$28=0,설정!$D$28/8/MAX(1,$B$13),설정!$D$28/8/설정!$C$28))</f>
        <v>0.515625</v>
      </c>
      <c r="I13" s="62" t="n">
        <f aca="false">설정!$B$64</f>
        <v>24000000000000</v>
      </c>
    </row>
    <row r="14" customFormat="false" ht="15" hidden="false" customHeight="false" outlineLevel="0" collapsed="false">
      <c r="A14" s="30" t="s">
        <v>261</v>
      </c>
      <c r="B14" s="59" t="n">
        <f aca="false">모델!$F$8</f>
        <v>3072</v>
      </c>
      <c r="C14" s="59" t="n">
        <f aca="false">모델!$F$29*모델!$F$30</f>
        <v>0</v>
      </c>
      <c r="D14" s="59" t="n">
        <f aca="false">모델!$F$26</f>
        <v>0</v>
      </c>
      <c r="E14" s="2" t="s">
        <v>252</v>
      </c>
      <c r="F14" s="2" t="s">
        <v>67</v>
      </c>
      <c r="G14" s="60" t="n">
        <f aca="false">설정!$B$28</f>
        <v>4</v>
      </c>
      <c r="H14" s="61" t="n">
        <f aca="false">(설정!$B$28/8+IF(설정!$C$28=0,설정!$D$28/8/MAX(1,$B$14),설정!$D$28/8/설정!$C$28))</f>
        <v>0.515625</v>
      </c>
      <c r="I14" s="62" t="n">
        <f aca="false">설정!$B$64</f>
        <v>24000000000000</v>
      </c>
    </row>
    <row r="15" customFormat="false" ht="15" hidden="false" customHeight="false" outlineLevel="0" collapsed="false">
      <c r="A15" s="30" t="s">
        <v>262</v>
      </c>
      <c r="B15" s="59" t="n">
        <f aca="false">모델!$F$8</f>
        <v>3072</v>
      </c>
      <c r="C15" s="59" t="n">
        <f aca="false">2*모델!$F$29</f>
        <v>0</v>
      </c>
      <c r="D15" s="59" t="n">
        <f aca="false">모델!$F$26</f>
        <v>0</v>
      </c>
      <c r="E15" s="2" t="s">
        <v>252</v>
      </c>
      <c r="F15" s="2" t="s">
        <v>67</v>
      </c>
      <c r="G15" s="60" t="n">
        <f aca="false">설정!$B$28</f>
        <v>4</v>
      </c>
      <c r="H15" s="61" t="n">
        <f aca="false">(설정!$B$28/8+IF(설정!$C$28=0,설정!$D$28/8/MAX(1,$B$15),설정!$D$28/8/설정!$C$28))</f>
        <v>0.515625</v>
      </c>
      <c r="I15" s="62" t="n">
        <f aca="false">설정!$B$64</f>
        <v>24000000000000</v>
      </c>
    </row>
    <row r="16" customFormat="false" ht="15" hidden="false" customHeight="false" outlineLevel="0" collapsed="false">
      <c r="A16" s="30" t="s">
        <v>263</v>
      </c>
      <c r="B16" s="59" t="n">
        <f aca="false">모델!$F$29*모델!$F$30</f>
        <v>0</v>
      </c>
      <c r="C16" s="59" t="n">
        <f aca="false">모델!$F$8</f>
        <v>3072</v>
      </c>
      <c r="D16" s="59" t="n">
        <f aca="false">모델!$F$26</f>
        <v>0</v>
      </c>
      <c r="E16" s="2" t="s">
        <v>252</v>
      </c>
      <c r="F16" s="2" t="s">
        <v>67</v>
      </c>
      <c r="G16" s="60" t="n">
        <f aca="false">설정!$B$28</f>
        <v>4</v>
      </c>
      <c r="H16" s="61" t="n">
        <f aca="false">(설정!$B$28/8+IF(설정!$C$28=0,설정!$D$28/8/MAX(1,$B$16),설정!$D$28/8/설정!$C$28))</f>
        <v>0.515625</v>
      </c>
      <c r="I16" s="62" t="n">
        <f aca="false">설정!$B$64</f>
        <v>24000000000000</v>
      </c>
    </row>
    <row r="17" customFormat="false" ht="15" hidden="false" customHeight="false" outlineLevel="0" collapsed="false">
      <c r="A17" s="30" t="s">
        <v>264</v>
      </c>
      <c r="B17" s="59" t="n">
        <f aca="false">모델!$F$8</f>
        <v>3072</v>
      </c>
      <c r="C17" s="59" t="n">
        <f aca="false">모델!$F$36</f>
        <v>0</v>
      </c>
      <c r="D17" s="59" t="n">
        <f aca="false">IF(모델!$F$36&gt;1,모델!$F$7,0)</f>
        <v>0</v>
      </c>
      <c r="E17" s="2" t="s">
        <v>252</v>
      </c>
      <c r="F17" s="2" t="s">
        <v>71</v>
      </c>
      <c r="G17" s="60" t="n">
        <f aca="false">설정!$B$30</f>
        <v>8</v>
      </c>
      <c r="H17" s="61" t="n">
        <f aca="false">(설정!$B$30/8+IF(설정!$C$30=0,설정!$D$30/8/MAX(1,$B$17),설정!$D$30/8/설정!$C$30))</f>
        <v>1.015625</v>
      </c>
      <c r="I17" s="62" t="n">
        <f aca="false">설정!$B$66</f>
        <v>24000000000000</v>
      </c>
    </row>
    <row r="18" customFormat="false" ht="15" hidden="false" customHeight="false" outlineLevel="0" collapsed="false">
      <c r="A18" s="30" t="s">
        <v>265</v>
      </c>
      <c r="B18" s="59" t="n">
        <f aca="false">모델!$F$8</f>
        <v>3072</v>
      </c>
      <c r="C18" s="59" t="n">
        <f aca="false">모델!$F$34</f>
        <v>8192</v>
      </c>
      <c r="D18" s="59" t="n">
        <f aca="false">IF(AND(모델!$F$34&gt;0,모델!$F$35&gt;=3),모델!$F$7,0)</f>
        <v>28</v>
      </c>
      <c r="E18" s="2" t="s">
        <v>252</v>
      </c>
      <c r="F18" s="2" t="s">
        <v>69</v>
      </c>
      <c r="G18" s="60" t="n">
        <f aca="false">설정!$B$29</f>
        <v>4</v>
      </c>
      <c r="H18" s="61" t="n">
        <f aca="false">(설정!$B$29/8+IF(설정!$C$29=0,설정!$D$29/8/MAX(1,$B$18),설정!$D$29/8/설정!$C$29))</f>
        <v>0.515625</v>
      </c>
      <c r="I18" s="62" t="n">
        <f aca="false">설정!$B$65</f>
        <v>24000000000000</v>
      </c>
    </row>
    <row r="19" customFormat="false" ht="15" hidden="false" customHeight="false" outlineLevel="0" collapsed="false">
      <c r="A19" s="30" t="s">
        <v>266</v>
      </c>
      <c r="B19" s="59" t="n">
        <f aca="false">모델!$F$8</f>
        <v>3072</v>
      </c>
      <c r="C19" s="59" t="n">
        <f aca="false">모델!$F$34</f>
        <v>8192</v>
      </c>
      <c r="D19" s="59" t="n">
        <f aca="false">IF(모델!$F$34&gt;0,모델!$F$7,0)</f>
        <v>28</v>
      </c>
      <c r="E19" s="2" t="s">
        <v>252</v>
      </c>
      <c r="F19" s="2" t="s">
        <v>69</v>
      </c>
      <c r="G19" s="60" t="n">
        <f aca="false">설정!$B$29</f>
        <v>4</v>
      </c>
      <c r="H19" s="61" t="n">
        <f aca="false">(설정!$B$29/8+IF(설정!$C$29=0,설정!$D$29/8/MAX(1,$B$19),설정!$D$29/8/설정!$C$29))</f>
        <v>0.515625</v>
      </c>
      <c r="I19" s="62" t="n">
        <f aca="false">설정!$B$65</f>
        <v>24000000000000</v>
      </c>
    </row>
    <row r="20" customFormat="false" ht="15" hidden="false" customHeight="false" outlineLevel="0" collapsed="false">
      <c r="A20" s="30" t="s">
        <v>267</v>
      </c>
      <c r="B20" s="59" t="n">
        <f aca="false">모델!$F$34</f>
        <v>8192</v>
      </c>
      <c r="C20" s="59" t="n">
        <f aca="false">모델!$F$8</f>
        <v>3072</v>
      </c>
      <c r="D20" s="59" t="n">
        <f aca="false">IF(모델!$F$34&gt;0,모델!$F$7,0)</f>
        <v>28</v>
      </c>
      <c r="E20" s="2" t="s">
        <v>252</v>
      </c>
      <c r="F20" s="2" t="s">
        <v>69</v>
      </c>
      <c r="G20" s="60" t="n">
        <f aca="false">설정!$B$29</f>
        <v>4</v>
      </c>
      <c r="H20" s="61" t="n">
        <f aca="false">(설정!$B$29/8+IF(설정!$C$29=0,설정!$D$29/8/MAX(1,$B$20),설정!$D$29/8/설정!$C$29))</f>
        <v>0.515625</v>
      </c>
      <c r="I20" s="62" t="n">
        <f aca="false">설정!$B$65</f>
        <v>24000000000000</v>
      </c>
    </row>
    <row r="21" customFormat="false" ht="15" hidden="false" customHeight="false" outlineLevel="0" collapsed="false">
      <c r="A21" s="30" t="s">
        <v>268</v>
      </c>
      <c r="B21" s="59" t="n">
        <f aca="false">모델!$F$8</f>
        <v>3072</v>
      </c>
      <c r="C21" s="59" t="n">
        <f aca="false">모델!$F$38</f>
        <v>0</v>
      </c>
      <c r="D21" s="59" t="n">
        <f aca="false">IF(AND(모델!$F$36&gt;1,모델!$F$35&gt;=3),모델!$F$7,0)</f>
        <v>0</v>
      </c>
      <c r="E21" s="2" t="s">
        <v>269</v>
      </c>
      <c r="F21" s="2" t="s">
        <v>69</v>
      </c>
      <c r="G21" s="60" t="n">
        <f aca="false">설정!$B$29</f>
        <v>4</v>
      </c>
      <c r="H21" s="61" t="n">
        <f aca="false">(설정!$B$29/8+IF(설정!$C$29=0,설정!$D$29/8/MAX(1,$B$21),설정!$D$29/8/설정!$C$29))</f>
        <v>0.515625</v>
      </c>
      <c r="I21" s="62" t="n">
        <f aca="false">설정!$B$65</f>
        <v>24000000000000</v>
      </c>
    </row>
    <row r="22" customFormat="false" ht="15" hidden="false" customHeight="false" outlineLevel="0" collapsed="false">
      <c r="A22" s="30" t="s">
        <v>270</v>
      </c>
      <c r="B22" s="59" t="n">
        <f aca="false">모델!$F$8</f>
        <v>3072</v>
      </c>
      <c r="C22" s="59" t="n">
        <f aca="false">모델!$F$38</f>
        <v>0</v>
      </c>
      <c r="D22" s="59" t="n">
        <f aca="false">IF(모델!$F$36&gt;1,모델!$F$7,0)</f>
        <v>0</v>
      </c>
      <c r="E22" s="2" t="s">
        <v>269</v>
      </c>
      <c r="F22" s="2" t="s">
        <v>69</v>
      </c>
      <c r="G22" s="60" t="n">
        <f aca="false">설정!$B$29</f>
        <v>4</v>
      </c>
      <c r="H22" s="61" t="n">
        <f aca="false">(설정!$B$29/8+IF(설정!$C$29=0,설정!$D$29/8/MAX(1,$B$22),설정!$D$29/8/설정!$C$29))</f>
        <v>0.515625</v>
      </c>
      <c r="I22" s="62" t="n">
        <f aca="false">설정!$B$65</f>
        <v>24000000000000</v>
      </c>
    </row>
    <row r="23" customFormat="false" ht="15" hidden="false" customHeight="false" outlineLevel="0" collapsed="false">
      <c r="A23" s="30" t="s">
        <v>271</v>
      </c>
      <c r="B23" s="59" t="n">
        <f aca="false">모델!$F$38</f>
        <v>0</v>
      </c>
      <c r="C23" s="59" t="n">
        <f aca="false">모델!$F$8</f>
        <v>3072</v>
      </c>
      <c r="D23" s="59" t="n">
        <f aca="false">IF(모델!$F$36&gt;1,모델!$F$7,0)</f>
        <v>0</v>
      </c>
      <c r="E23" s="2" t="s">
        <v>269</v>
      </c>
      <c r="F23" s="2" t="s">
        <v>69</v>
      </c>
      <c r="G23" s="60" t="n">
        <f aca="false">설정!$B$29</f>
        <v>4</v>
      </c>
      <c r="H23" s="61" t="n">
        <f aca="false">(설정!$B$29/8+IF(설정!$C$29=0,설정!$D$29/8/MAX(1,$B$23),설정!$D$29/8/설정!$C$29))</f>
        <v>0.515625</v>
      </c>
      <c r="I23" s="62" t="n">
        <f aca="false">설정!$B$65</f>
        <v>24000000000000</v>
      </c>
    </row>
    <row r="24" customFormat="false" ht="15" hidden="false" customHeight="false" outlineLevel="0" collapsed="false">
      <c r="A24" s="30" t="s">
        <v>272</v>
      </c>
      <c r="B24" s="59" t="n">
        <f aca="false">모델!$F$8</f>
        <v>3072</v>
      </c>
      <c r="C24" s="59" t="n">
        <f aca="false">모델!$F$9</f>
        <v>128256</v>
      </c>
      <c r="D24" s="59" t="n">
        <f aca="false">1</f>
        <v>1</v>
      </c>
      <c r="E24" s="2" t="s">
        <v>273</v>
      </c>
      <c r="F24" s="2" t="s">
        <v>73</v>
      </c>
      <c r="G24" s="60" t="n">
        <f aca="false">설정!$B$31</f>
        <v>4</v>
      </c>
      <c r="H24" s="61" t="n">
        <f aca="false">(설정!$B$31/8+IF(설정!$C$31=0,설정!$D$31/8/MAX(1,$B$24),설정!$D$31/8/설정!$C$31))</f>
        <v>0.515625</v>
      </c>
      <c r="I24" s="62" t="n">
        <f aca="false">설정!$B$67</f>
        <v>24000000000000</v>
      </c>
    </row>
    <row r="25" customFormat="false" ht="17.15" hidden="false" customHeight="false" outlineLevel="0" collapsed="false">
      <c r="A25" s="22" t="s">
        <v>274</v>
      </c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7.15" hidden="false" customHeight="false" outlineLevel="0" collapsed="false">
      <c r="A27" s="28" t="s">
        <v>275</v>
      </c>
      <c r="B27" s="29"/>
      <c r="C27" s="29"/>
      <c r="D27" s="29"/>
      <c r="E27" s="29"/>
      <c r="F27" s="29"/>
      <c r="G27" s="29"/>
      <c r="H27" s="29"/>
      <c r="I27" s="29"/>
    </row>
    <row r="28" customFormat="false" ht="17.15" hidden="false" customHeight="false" outlineLevel="0" collapsed="false">
      <c r="A28" s="7" t="s">
        <v>276</v>
      </c>
      <c r="B28" s="63" t="n">
        <f aca="false">설정!$B$54</f>
        <v>128</v>
      </c>
      <c r="C28" s="63" t="n">
        <f aca="false">설정!$C$54</f>
        <v>256</v>
      </c>
      <c r="D28" s="63" t="n">
        <f aca="false">설정!$D$54</f>
        <v>512</v>
      </c>
      <c r="E28" s="63" t="n">
        <f aca="false">설정!$E$54</f>
        <v>1024</v>
      </c>
      <c r="F28" s="63" t="n">
        <f aca="false">설정!$F$54</f>
        <v>2048</v>
      </c>
      <c r="G28" s="63" t="n">
        <f aca="false">설정!$G$54</f>
        <v>4096</v>
      </c>
      <c r="H28" s="63" t="n">
        <f aca="false">설정!$H$54</f>
        <v>8192</v>
      </c>
      <c r="I28" s="2"/>
    </row>
    <row r="29" customFormat="false" ht="17.15" hidden="false" customHeight="false" outlineLevel="0" collapsed="false">
      <c r="A29" s="33" t="s">
        <v>277</v>
      </c>
      <c r="B29" s="64" t="n">
        <f aca="false">IF(모델!$F$36&gt;1,IF(AND(설정!$B$47="실측",ISNUMBER('Expert 실측'!$F$7)),MIN(모델!$F$36,MAX(1,'Expert 실측'!$F$7)),모델!$F$36*(1-EXP(MAX(-700,B28*LN(1-MIN(모델!$F$37/모델!$F$36,0.999999)))))),1)</f>
        <v>1</v>
      </c>
      <c r="C29" s="64" t="n">
        <f aca="false">IF(모델!$F$36&gt;1,IF(AND(설정!$B$47="실측",ISNUMBER('Expert 실측'!$F$8)),MIN(모델!$F$36,MAX(1,'Expert 실측'!$F$8)),모델!$F$36*(1-EXP(MAX(-700,C28*LN(1-MIN(모델!$F$37/모델!$F$36,0.999999)))))),1)</f>
        <v>1</v>
      </c>
      <c r="D29" s="64" t="n">
        <f aca="false">IF(모델!$F$36&gt;1,IF(AND(설정!$B$47="실측",ISNUMBER('Expert 실측'!$F$9)),MIN(모델!$F$36,MAX(1,'Expert 실측'!$F$9)),모델!$F$36*(1-EXP(MAX(-700,D28*LN(1-MIN(모델!$F$37/모델!$F$36,0.999999)))))),1)</f>
        <v>1</v>
      </c>
      <c r="E29" s="64" t="n">
        <f aca="false">IF(모델!$F$36&gt;1,IF(AND(설정!$B$47="실측",ISNUMBER('Expert 실측'!$F$10)),MIN(모델!$F$36,MAX(1,'Expert 실측'!$F$10)),모델!$F$36*(1-EXP(MAX(-700,E28*LN(1-MIN(모델!$F$37/모델!$F$36,0.999999)))))),1)</f>
        <v>1</v>
      </c>
      <c r="F29" s="64" t="n">
        <f aca="false">IF(모델!$F$36&gt;1,IF(AND(설정!$B$47="실측",ISNUMBER('Expert 실측'!$F$11)),MIN(모델!$F$36,MAX(1,'Expert 실측'!$F$11)),모델!$F$36*(1-EXP(MAX(-700,F28*LN(1-MIN(모델!$F$37/모델!$F$36,0.999999)))))),1)</f>
        <v>1</v>
      </c>
      <c r="G29" s="64" t="n">
        <f aca="false">IF(모델!$F$36&gt;1,IF(AND(설정!$B$47="실측",ISNUMBER('Expert 실측'!$F$12)),MIN(모델!$F$36,MAX(1,'Expert 실측'!$F$12)),모델!$F$36*(1-EXP(MAX(-700,G28*LN(1-MIN(모델!$F$37/모델!$F$36,0.999999)))))),1)</f>
        <v>1</v>
      </c>
      <c r="H29" s="64" t="n">
        <f aca="false">IF(모델!$F$36&gt;1,IF(AND(설정!$B$47="실측",ISNUMBER('Expert 실측'!$F$13)),MIN(모델!$F$36,MAX(1,'Expert 실측'!$F$13)),모델!$F$36*(1-EXP(MAX(-700,H28*LN(1-MIN(모델!$F$37/모델!$F$36,0.999999)))))),1)</f>
        <v>1</v>
      </c>
      <c r="I29" s="2"/>
    </row>
    <row r="30" customFormat="false" ht="17.15" hidden="false" customHeight="false" outlineLevel="0" collapsed="false">
      <c r="A30" s="30" t="s">
        <v>278</v>
      </c>
      <c r="B30" s="65" t="n">
        <f aca="false">IF(모델!$F$36&gt;1,B29/모델!$F$36,1)</f>
        <v>1</v>
      </c>
      <c r="C30" s="65" t="n">
        <f aca="false">IF(모델!$F$36&gt;1,C29/모델!$F$36,1)</f>
        <v>1</v>
      </c>
      <c r="D30" s="65" t="n">
        <f aca="false">IF(모델!$F$36&gt;1,D29/모델!$F$36,1)</f>
        <v>1</v>
      </c>
      <c r="E30" s="65" t="n">
        <f aca="false">IF(모델!$F$36&gt;1,E29/모델!$F$36,1)</f>
        <v>1</v>
      </c>
      <c r="F30" s="65" t="n">
        <f aca="false">IF(모델!$F$36&gt;1,F29/모델!$F$36,1)</f>
        <v>1</v>
      </c>
      <c r="G30" s="65" t="n">
        <f aca="false">IF(모델!$F$36&gt;1,G29/모델!$F$36,1)</f>
        <v>1</v>
      </c>
      <c r="H30" s="65" t="n">
        <f aca="false">IF(모델!$F$36&gt;1,H29/모델!$F$36,1)</f>
        <v>1</v>
      </c>
      <c r="I30" s="32" t="s">
        <v>279</v>
      </c>
    </row>
    <row r="31" customFormat="false" ht="17.15" hidden="false" customHeight="false" outlineLevel="0" collapsed="false">
      <c r="A31" s="30" t="s">
        <v>280</v>
      </c>
      <c r="B31" s="66" t="n">
        <f aca="false">IF(모델!$F$36&gt;1,B28*모델!$F$37/B29,B28)</f>
        <v>128</v>
      </c>
      <c r="C31" s="66" t="n">
        <f aca="false">IF(모델!$F$36&gt;1,C28*모델!$F$37/C29,C28)</f>
        <v>256</v>
      </c>
      <c r="D31" s="66" t="n">
        <f aca="false">IF(모델!$F$36&gt;1,D28*모델!$F$37/D29,D28)</f>
        <v>512</v>
      </c>
      <c r="E31" s="66" t="n">
        <f aca="false">IF(모델!$F$36&gt;1,E28*모델!$F$37/E29,E28)</f>
        <v>1024</v>
      </c>
      <c r="F31" s="66" t="n">
        <f aca="false">IF(모델!$F$36&gt;1,F28*모델!$F$37/F29,F28)</f>
        <v>2048</v>
      </c>
      <c r="G31" s="66" t="n">
        <f aca="false">IF(모델!$F$36&gt;1,G28*모델!$F$37/G29,G28)</f>
        <v>4096</v>
      </c>
      <c r="H31" s="66" t="n">
        <f aca="false">IF(모델!$F$36&gt;1,H28*모델!$F$37/H29,H28)</f>
        <v>8192</v>
      </c>
      <c r="I31" s="2"/>
    </row>
    <row r="32" customFormat="false" ht="17.15" hidden="false" customHeight="false" outlineLevel="0" collapsed="false">
      <c r="A32" s="30" t="s">
        <v>281</v>
      </c>
      <c r="B32" s="67" t="n">
        <f aca="false">($D$5)*2*(B$28)*$B$5*$C$5</f>
        <v>67645734912</v>
      </c>
      <c r="C32" s="67" t="n">
        <f aca="false">($D$5)*2*(C$28)*$B$5*$C$5</f>
        <v>135291469824</v>
      </c>
      <c r="D32" s="67" t="n">
        <f aca="false">($D$5)*2*(D$28)*$B$5*$C$5</f>
        <v>270582939648</v>
      </c>
      <c r="E32" s="67" t="n">
        <f aca="false">($D$5)*2*(E$28)*$B$5*$C$5</f>
        <v>541165879296</v>
      </c>
      <c r="F32" s="67" t="n">
        <f aca="false">($D$5)*2*(F$28)*$B$5*$C$5</f>
        <v>1082331758592</v>
      </c>
      <c r="G32" s="67" t="n">
        <f aca="false">($D$5)*2*(G$28)*$B$5*$C$5</f>
        <v>2164663517184</v>
      </c>
      <c r="H32" s="67" t="n">
        <f aca="false">($D$5)*2*(H$28)*$B$5*$C$5</f>
        <v>4329327034368</v>
      </c>
      <c r="I32" s="2"/>
    </row>
    <row r="33" customFormat="false" ht="17.15" hidden="false" customHeight="false" outlineLevel="0" collapsed="false">
      <c r="A33" s="30" t="s">
        <v>282</v>
      </c>
      <c r="B33" s="67" t="n">
        <f aca="false">($D$5)*MIN(($B$5*$C$5*$H$5)*MAX(1,ROUNDUP(((B$28)*$B$5*설정!$B$57)/설정!$B$61,0))+((B$28)*$B$5*설정!$B$57)+((B$28)*$C$5*설정!$B$57),($B$5*$C$5*$H$5)+((B$28)*$B$5*설정!$B$57)*MAX(1,ROUNDUP(($B$5*$C$5*$H$5)/설정!$B$61,0))+((B$28)*$C$5*설정!$B$57))</f>
        <v>158269440</v>
      </c>
      <c r="C33" s="67" t="n">
        <f aca="false">($D$5)*MIN(($B$5*$C$5*$H$5)*MAX(1,ROUNDUP(((C$28)*$B$5*설정!$B$57)/설정!$B$61,0))+((C$28)*$B$5*설정!$B$57)+((C$28)*$C$5*설정!$B$57),($B$5*$C$5*$H$5)+((C$28)*$B$5*설정!$B$57)*MAX(1,ROUNDUP(($B$5*$C$5*$H$5)/설정!$B$61,0))+((C$28)*$C$5*설정!$B$57))</f>
        <v>180289536</v>
      </c>
      <c r="D33" s="67" t="n">
        <f aca="false">($D$5)*MIN(($B$5*$C$5*$H$5)*MAX(1,ROUNDUP(((D$28)*$B$5*설정!$B$57)/설정!$B$61,0))+((D$28)*$B$5*설정!$B$57)+((D$28)*$C$5*설정!$B$57),($B$5*$C$5*$H$5)+((D$28)*$B$5*설정!$B$57)*MAX(1,ROUNDUP(($B$5*$C$5*$H$5)/설정!$B$61,0))+((D$28)*$C$5*설정!$B$57))</f>
        <v>224329728</v>
      </c>
      <c r="E33" s="67" t="n">
        <f aca="false">($D$5)*MIN(($B$5*$C$5*$H$5)*MAX(1,ROUNDUP(((E$28)*$B$5*설정!$B$57)/설정!$B$61,0))+((E$28)*$B$5*설정!$B$57)+((E$28)*$C$5*설정!$B$57),($B$5*$C$5*$H$5)+((E$28)*$B$5*설정!$B$57)*MAX(1,ROUNDUP(($B$5*$C$5*$H$5)/설정!$B$61,0))+((E$28)*$C$5*설정!$B$57))</f>
        <v>448659456</v>
      </c>
      <c r="F33" s="67" t="n">
        <f aca="false">($D$5)*MIN(($B$5*$C$5*$H$5)*MAX(1,ROUNDUP(((F$28)*$B$5*설정!$B$57)/설정!$B$61,0))+((F$28)*$B$5*설정!$B$57)+((F$28)*$C$5*설정!$B$57),($B$5*$C$5*$H$5)+((F$28)*$B$5*설정!$B$57)*MAX(1,ROUNDUP(($B$5*$C$5*$H$5)/설정!$B$61,0))+((F$28)*$C$5*설정!$B$57))</f>
        <v>840892416</v>
      </c>
      <c r="G33" s="67" t="n">
        <f aca="false">($D$5)*MIN(($B$5*$C$5*$H$5)*MAX(1,ROUNDUP(((G$28)*$B$5*설정!$B$57)/설정!$B$61,0))+((G$28)*$B$5*설정!$B$57)+((G$28)*$C$5*설정!$B$57),($B$5*$C$5*$H$5)+((G$28)*$B$5*설정!$B$57)*MAX(1,ROUNDUP(($B$5*$C$5*$H$5)/설정!$B$61,0))+((G$28)*$C$5*설정!$B$57))</f>
        <v>1545535488</v>
      </c>
      <c r="H33" s="67" t="n">
        <f aca="false">($D$5)*MIN(($B$5*$C$5*$H$5)*MAX(1,ROUNDUP(((H$28)*$B$5*설정!$B$57)/설정!$B$61,0))+((H$28)*$B$5*설정!$B$57)+((H$28)*$C$5*설정!$B$57),($B$5*$C$5*$H$5)+((H$28)*$B$5*설정!$B$57)*MAX(1,ROUNDUP(($B$5*$C$5*$H$5)/설정!$B$61,0))+((H$28)*$C$5*설정!$B$57))</f>
        <v>2954821632</v>
      </c>
      <c r="I33" s="2"/>
    </row>
    <row r="34" customFormat="false" ht="17.15" hidden="false" customHeight="false" outlineLevel="0" collapsed="false">
      <c r="A34" s="30" t="s">
        <v>283</v>
      </c>
      <c r="B34" s="68" t="n">
        <f aca="false">MAX(B32/$I$5,B33/설정!$B$60)*1000</f>
        <v>3.10332235294118</v>
      </c>
      <c r="C34" s="68" t="n">
        <f aca="false">MAX(C32/$I$5,C33/설정!$B$60)*1000</f>
        <v>5.637144576</v>
      </c>
      <c r="D34" s="68" t="n">
        <f aca="false">MAX(D32/$I$5,D33/설정!$B$60)*1000</f>
        <v>11.274289152</v>
      </c>
      <c r="E34" s="68" t="n">
        <f aca="false">MAX(E32/$I$5,E33/설정!$B$60)*1000</f>
        <v>22.548578304</v>
      </c>
      <c r="F34" s="68" t="n">
        <f aca="false">MAX(F32/$I$5,F33/설정!$B$60)*1000</f>
        <v>45.097156608</v>
      </c>
      <c r="G34" s="68" t="n">
        <f aca="false">MAX(G32/$I$5,G33/설정!$B$60)*1000</f>
        <v>90.194313216</v>
      </c>
      <c r="H34" s="68" t="n">
        <f aca="false">MAX(H32/$I$5,H33/설정!$B$60)*1000</f>
        <v>180.388626432</v>
      </c>
      <c r="I34" s="2"/>
    </row>
    <row r="35" customFormat="false" ht="17.15" hidden="false" customHeight="false" outlineLevel="0" collapsed="false">
      <c r="A35" s="30" t="s">
        <v>284</v>
      </c>
      <c r="B35" s="67" t="n">
        <f aca="false">($D$6)*2*(B$28)*$B$6*$C$6</f>
        <v>22548578304</v>
      </c>
      <c r="C35" s="67" t="n">
        <f aca="false">($D$6)*2*(C$28)*$B$6*$C$6</f>
        <v>45097156608</v>
      </c>
      <c r="D35" s="67" t="n">
        <f aca="false">($D$6)*2*(D$28)*$B$6*$C$6</f>
        <v>90194313216</v>
      </c>
      <c r="E35" s="67" t="n">
        <f aca="false">($D$6)*2*(E$28)*$B$6*$C$6</f>
        <v>180388626432</v>
      </c>
      <c r="F35" s="67" t="n">
        <f aca="false">($D$6)*2*(F$28)*$B$6*$C$6</f>
        <v>360777252864</v>
      </c>
      <c r="G35" s="67" t="n">
        <f aca="false">($D$6)*2*(G$28)*$B$6*$C$6</f>
        <v>721554505728</v>
      </c>
      <c r="H35" s="67" t="n">
        <f aca="false">($D$6)*2*(H$28)*$B$6*$C$6</f>
        <v>1443109011456</v>
      </c>
      <c r="I35" s="2"/>
    </row>
    <row r="36" customFormat="false" ht="17.15" hidden="false" customHeight="false" outlineLevel="0" collapsed="false">
      <c r="A36" s="30" t="s">
        <v>285</v>
      </c>
      <c r="B36" s="67" t="n">
        <f aca="false">($D$6)*MIN(($B$6*$C$6*$H$6)*MAX(1,ROUNDUP(((B$28)*$B$6*설정!$B$57)/설정!$B$61,0))+((B$28)*$B$6*설정!$B$57)+((B$28)*$C$6*설정!$B$57),($B$6*$C$6*$H$6)+((B$28)*$B$6*설정!$B$57)*MAX(1,ROUNDUP(($B$6*$C$6*$H$6)/설정!$B$61,0))+((B$28)*$C$6*설정!$B$57))</f>
        <v>60096512</v>
      </c>
      <c r="C36" s="67" t="n">
        <f aca="false">($D$6)*MIN(($B$6*$C$6*$H$6)*MAX(1,ROUNDUP(((C$28)*$B$6*설정!$B$57)/설정!$B$61,0))+((C$28)*$B$6*설정!$B$57)+((C$28)*$C$6*설정!$B$57),($B$6*$C$6*$H$6)+((C$28)*$B$6*설정!$B$57)*MAX(1,ROUNDUP(($B$6*$C$6*$H$6)/설정!$B$61,0))+((C$28)*$C$6*설정!$B$57))</f>
        <v>74776576</v>
      </c>
      <c r="D36" s="67" t="n">
        <f aca="false">($D$6)*MIN(($B$6*$C$6*$H$6)*MAX(1,ROUNDUP(((D$28)*$B$6*설정!$B$57)/설정!$B$61,0))+((D$28)*$B$6*설정!$B$57)+((D$28)*$C$6*설정!$B$57),($B$6*$C$6*$H$6)+((D$28)*$B$6*설정!$B$57)*MAX(1,ROUNDUP(($B$6*$C$6*$H$6)/설정!$B$61,0))+((D$28)*$C$6*설정!$B$57))</f>
        <v>104136704</v>
      </c>
      <c r="E36" s="67" t="n">
        <f aca="false">($D$6)*MIN(($B$6*$C$6*$H$6)*MAX(1,ROUNDUP(((E$28)*$B$6*설정!$B$57)/설정!$B$61,0))+((E$28)*$B$6*설정!$B$57)+((E$28)*$C$6*설정!$B$57),($B$6*$C$6*$H$6)+((E$28)*$B$6*설정!$B$57)*MAX(1,ROUNDUP(($B$6*$C$6*$H$6)/설정!$B$61,0))+((E$28)*$C$6*설정!$B$57))</f>
        <v>162856960</v>
      </c>
      <c r="F36" s="67" t="n">
        <f aca="false">($D$6)*MIN(($B$6*$C$6*$H$6)*MAX(1,ROUNDUP(((F$28)*$B$6*설정!$B$57)/설정!$B$61,0))+((F$28)*$B$6*설정!$B$57)+((F$28)*$C$6*설정!$B$57),($B$6*$C$6*$H$6)+((F$28)*$B$6*설정!$B$57)*MAX(1,ROUNDUP(($B$6*$C$6*$H$6)/설정!$B$61,0))+((F$28)*$C$6*설정!$B$57))</f>
        <v>280297472</v>
      </c>
      <c r="G36" s="67" t="n">
        <f aca="false">($D$6)*MIN(($B$6*$C$6*$H$6)*MAX(1,ROUNDUP(((G$28)*$B$6*설정!$B$57)/설정!$B$61,0))+((G$28)*$B$6*설정!$B$57)+((G$28)*$C$6*설정!$B$57),($B$6*$C$6*$H$6)+((G$28)*$B$6*설정!$B$57)*MAX(1,ROUNDUP(($B$6*$C$6*$H$6)/설정!$B$61,0))+((G$28)*$C$6*설정!$B$57))</f>
        <v>515178496</v>
      </c>
      <c r="H36" s="67" t="n">
        <f aca="false">($D$6)*MIN(($B$6*$C$6*$H$6)*MAX(1,ROUNDUP(((H$28)*$B$6*설정!$B$57)/설정!$B$61,0))+((H$28)*$B$6*설정!$B$57)+((H$28)*$C$6*설정!$B$57),($B$6*$C$6*$H$6)+((H$28)*$B$6*설정!$B$57)*MAX(1,ROUNDUP(($B$6*$C$6*$H$6)/설정!$B$61,0))+((H$28)*$C$6*설정!$B$57))</f>
        <v>984940544</v>
      </c>
      <c r="I36" s="2"/>
    </row>
    <row r="37" customFormat="false" ht="17.15" hidden="false" customHeight="false" outlineLevel="0" collapsed="false">
      <c r="A37" s="30" t="s">
        <v>286</v>
      </c>
      <c r="B37" s="68" t="n">
        <f aca="false">MAX(B35/$I$6,B36/설정!$B$60)*1000</f>
        <v>1.17836298039216</v>
      </c>
      <c r="C37" s="68" t="n">
        <f aca="false">MAX(C35/$I$6,C36/설정!$B$60)*1000</f>
        <v>1.879048192</v>
      </c>
      <c r="D37" s="68" t="n">
        <f aca="false">MAX(D35/$I$6,D36/설정!$B$60)*1000</f>
        <v>3.758096384</v>
      </c>
      <c r="E37" s="68" t="n">
        <f aca="false">MAX(E35/$I$6,E36/설정!$B$60)*1000</f>
        <v>7.516192768</v>
      </c>
      <c r="F37" s="68" t="n">
        <f aca="false">MAX(F35/$I$6,F36/설정!$B$60)*1000</f>
        <v>15.032385536</v>
      </c>
      <c r="G37" s="68" t="n">
        <f aca="false">MAX(G35/$I$6,G36/설정!$B$60)*1000</f>
        <v>30.064771072</v>
      </c>
      <c r="H37" s="68" t="n">
        <f aca="false">MAX(H35/$I$6,H36/설정!$B$60)*1000</f>
        <v>60.129542144</v>
      </c>
      <c r="I37" s="2"/>
    </row>
    <row r="38" customFormat="false" ht="17.15" hidden="false" customHeight="false" outlineLevel="0" collapsed="false">
      <c r="A38" s="30" t="s">
        <v>287</v>
      </c>
      <c r="B38" s="67" t="n">
        <f aca="false">($D$7)*2*(B$28)*$B$7*$C$7</f>
        <v>22548578304</v>
      </c>
      <c r="C38" s="67" t="n">
        <f aca="false">($D$7)*2*(C$28)*$B$7*$C$7</f>
        <v>45097156608</v>
      </c>
      <c r="D38" s="67" t="n">
        <f aca="false">($D$7)*2*(D$28)*$B$7*$C$7</f>
        <v>90194313216</v>
      </c>
      <c r="E38" s="67" t="n">
        <f aca="false">($D$7)*2*(E$28)*$B$7*$C$7</f>
        <v>180388626432</v>
      </c>
      <c r="F38" s="67" t="n">
        <f aca="false">($D$7)*2*(F$28)*$B$7*$C$7</f>
        <v>360777252864</v>
      </c>
      <c r="G38" s="67" t="n">
        <f aca="false">($D$7)*2*(G$28)*$B$7*$C$7</f>
        <v>721554505728</v>
      </c>
      <c r="H38" s="67" t="n">
        <f aca="false">($D$7)*2*(H$28)*$B$7*$C$7</f>
        <v>1443109011456</v>
      </c>
      <c r="I38" s="2"/>
    </row>
    <row r="39" customFormat="false" ht="17.15" hidden="false" customHeight="false" outlineLevel="0" collapsed="false">
      <c r="A39" s="30" t="s">
        <v>288</v>
      </c>
      <c r="B39" s="67" t="n">
        <f aca="false">($D$7)*MIN(($B$7*$C$7*$H$7)*MAX(1,ROUNDUP(((B$28)*$B$7*설정!$B$57)/설정!$B$61,0))+((B$28)*$B$7*설정!$B$57)+((B$28)*$C$7*설정!$B$57),($B$7*$C$7*$H$7)+((B$28)*$B$7*설정!$B$57)*MAX(1,ROUNDUP(($B$7*$C$7*$H$7)/설정!$B$61,0))+((B$28)*$C$7*설정!$B$57))</f>
        <v>60096512</v>
      </c>
      <c r="C39" s="67" t="n">
        <f aca="false">($D$7)*MIN(($B$7*$C$7*$H$7)*MAX(1,ROUNDUP(((C$28)*$B$7*설정!$B$57)/설정!$B$61,0))+((C$28)*$B$7*설정!$B$57)+((C$28)*$C$7*설정!$B$57),($B$7*$C$7*$H$7)+((C$28)*$B$7*설정!$B$57)*MAX(1,ROUNDUP(($B$7*$C$7*$H$7)/설정!$B$61,0))+((C$28)*$C$7*설정!$B$57))</f>
        <v>74776576</v>
      </c>
      <c r="D39" s="67" t="n">
        <f aca="false">($D$7)*MIN(($B$7*$C$7*$H$7)*MAX(1,ROUNDUP(((D$28)*$B$7*설정!$B$57)/설정!$B$61,0))+((D$28)*$B$7*설정!$B$57)+((D$28)*$C$7*설정!$B$57),($B$7*$C$7*$H$7)+((D$28)*$B$7*설정!$B$57)*MAX(1,ROUNDUP(($B$7*$C$7*$H$7)/설정!$B$61,0))+((D$28)*$C$7*설정!$B$57))</f>
        <v>104136704</v>
      </c>
      <c r="E39" s="67" t="n">
        <f aca="false">($D$7)*MIN(($B$7*$C$7*$H$7)*MAX(1,ROUNDUP(((E$28)*$B$7*설정!$B$57)/설정!$B$61,0))+((E$28)*$B$7*설정!$B$57)+((E$28)*$C$7*설정!$B$57),($B$7*$C$7*$H$7)+((E$28)*$B$7*설정!$B$57)*MAX(1,ROUNDUP(($B$7*$C$7*$H$7)/설정!$B$61,0))+((E$28)*$C$7*설정!$B$57))</f>
        <v>162856960</v>
      </c>
      <c r="F39" s="67" t="n">
        <f aca="false">($D$7)*MIN(($B$7*$C$7*$H$7)*MAX(1,ROUNDUP(((F$28)*$B$7*설정!$B$57)/설정!$B$61,0))+((F$28)*$B$7*설정!$B$57)+((F$28)*$C$7*설정!$B$57),($B$7*$C$7*$H$7)+((F$28)*$B$7*설정!$B$57)*MAX(1,ROUNDUP(($B$7*$C$7*$H$7)/설정!$B$61,0))+((F$28)*$C$7*설정!$B$57))</f>
        <v>280297472</v>
      </c>
      <c r="G39" s="67" t="n">
        <f aca="false">($D$7)*MIN(($B$7*$C$7*$H$7)*MAX(1,ROUNDUP(((G$28)*$B$7*설정!$B$57)/설정!$B$61,0))+((G$28)*$B$7*설정!$B$57)+((G$28)*$C$7*설정!$B$57),($B$7*$C$7*$H$7)+((G$28)*$B$7*설정!$B$57)*MAX(1,ROUNDUP(($B$7*$C$7*$H$7)/설정!$B$61,0))+((G$28)*$C$7*설정!$B$57))</f>
        <v>515178496</v>
      </c>
      <c r="H39" s="67" t="n">
        <f aca="false">($D$7)*MIN(($B$7*$C$7*$H$7)*MAX(1,ROUNDUP(((H$28)*$B$7*설정!$B$57)/설정!$B$61,0))+((H$28)*$B$7*설정!$B$57)+((H$28)*$C$7*설정!$B$57),($B$7*$C$7*$H$7)+((H$28)*$B$7*설정!$B$57)*MAX(1,ROUNDUP(($B$7*$C$7*$H$7)/설정!$B$61,0))+((H$28)*$C$7*설정!$B$57))</f>
        <v>984940544</v>
      </c>
      <c r="I39" s="2"/>
    </row>
    <row r="40" customFormat="false" ht="17.15" hidden="false" customHeight="false" outlineLevel="0" collapsed="false">
      <c r="A40" s="30" t="s">
        <v>289</v>
      </c>
      <c r="B40" s="68" t="n">
        <f aca="false">MAX(B38/$I$7,B39/설정!$B$60)*1000</f>
        <v>1.17836298039216</v>
      </c>
      <c r="C40" s="68" t="n">
        <f aca="false">MAX(C38/$I$7,C39/설정!$B$60)*1000</f>
        <v>1.879048192</v>
      </c>
      <c r="D40" s="68" t="n">
        <f aca="false">MAX(D38/$I$7,D39/설정!$B$60)*1000</f>
        <v>3.758096384</v>
      </c>
      <c r="E40" s="68" t="n">
        <f aca="false">MAX(E38/$I$7,E39/설정!$B$60)*1000</f>
        <v>7.516192768</v>
      </c>
      <c r="F40" s="68" t="n">
        <f aca="false">MAX(F38/$I$7,F39/설정!$B$60)*1000</f>
        <v>15.032385536</v>
      </c>
      <c r="G40" s="68" t="n">
        <f aca="false">MAX(G38/$I$7,G39/설정!$B$60)*1000</f>
        <v>30.064771072</v>
      </c>
      <c r="H40" s="68" t="n">
        <f aca="false">MAX(H38/$I$7,H39/설정!$B$60)*1000</f>
        <v>60.129542144</v>
      </c>
      <c r="I40" s="2"/>
    </row>
    <row r="41" customFormat="false" ht="17.15" hidden="false" customHeight="false" outlineLevel="0" collapsed="false">
      <c r="A41" s="30" t="s">
        <v>290</v>
      </c>
      <c r="B41" s="67" t="n">
        <f aca="false">($D$8)*2*(B$28)*$B$8*$C$8</f>
        <v>67645734912</v>
      </c>
      <c r="C41" s="67" t="n">
        <f aca="false">($D$8)*2*(C$28)*$B$8*$C$8</f>
        <v>135291469824</v>
      </c>
      <c r="D41" s="67" t="n">
        <f aca="false">($D$8)*2*(D$28)*$B$8*$C$8</f>
        <v>270582939648</v>
      </c>
      <c r="E41" s="67" t="n">
        <f aca="false">($D$8)*2*(E$28)*$B$8*$C$8</f>
        <v>541165879296</v>
      </c>
      <c r="F41" s="67" t="n">
        <f aca="false">($D$8)*2*(F$28)*$B$8*$C$8</f>
        <v>1082331758592</v>
      </c>
      <c r="G41" s="67" t="n">
        <f aca="false">($D$8)*2*(G$28)*$B$8*$C$8</f>
        <v>2164663517184</v>
      </c>
      <c r="H41" s="67" t="n">
        <f aca="false">($D$8)*2*(H$28)*$B$8*$C$8</f>
        <v>4329327034368</v>
      </c>
      <c r="I41" s="2"/>
    </row>
    <row r="42" customFormat="false" ht="17.15" hidden="false" customHeight="false" outlineLevel="0" collapsed="false">
      <c r="A42" s="30" t="s">
        <v>291</v>
      </c>
      <c r="B42" s="67" t="n">
        <f aca="false">($D$8)*MIN(($B$8*$C$8*$H$8)*MAX(1,ROUNDUP(((B$28)*$B$8*설정!$B$57)/설정!$B$61,0))+((B$28)*$B$8*설정!$B$57)+((B$28)*$C$8*설정!$B$57),($B$8*$C$8*$H$8)+((B$28)*$B$8*설정!$B$57)*MAX(1,ROUNDUP(($B$8*$C$8*$H$8)/설정!$B$61,0))+((B$28)*$C$8*설정!$B$57))</f>
        <v>158269440</v>
      </c>
      <c r="C42" s="67" t="n">
        <f aca="false">($D$8)*MIN(($B$8*$C$8*$H$8)*MAX(1,ROUNDUP(((C$28)*$B$8*설정!$B$57)/설정!$B$61,0))+((C$28)*$B$8*설정!$B$57)+((C$28)*$C$8*설정!$B$57),($B$8*$C$8*$H$8)+((C$28)*$B$8*설정!$B$57)*MAX(1,ROUNDUP(($B$8*$C$8*$H$8)/설정!$B$61,0))+((C$28)*$C$8*설정!$B$57))</f>
        <v>180289536</v>
      </c>
      <c r="D42" s="67" t="n">
        <f aca="false">($D$8)*MIN(($B$8*$C$8*$H$8)*MAX(1,ROUNDUP(((D$28)*$B$8*설정!$B$57)/설정!$B$61,0))+((D$28)*$B$8*설정!$B$57)+((D$28)*$C$8*설정!$B$57),($B$8*$C$8*$H$8)+((D$28)*$B$8*설정!$B$57)*MAX(1,ROUNDUP(($B$8*$C$8*$H$8)/설정!$B$61,0))+((D$28)*$C$8*설정!$B$57))</f>
        <v>224329728</v>
      </c>
      <c r="E42" s="67" t="n">
        <f aca="false">($D$8)*MIN(($B$8*$C$8*$H$8)*MAX(1,ROUNDUP(((E$28)*$B$8*설정!$B$57)/설정!$B$61,0))+((E$28)*$B$8*설정!$B$57)+((E$28)*$C$8*설정!$B$57),($B$8*$C$8*$H$8)+((E$28)*$B$8*설정!$B$57)*MAX(1,ROUNDUP(($B$8*$C$8*$H$8)/설정!$B$61,0))+((E$28)*$C$8*설정!$B$57))</f>
        <v>448659456</v>
      </c>
      <c r="F42" s="67" t="n">
        <f aca="false">($D$8)*MIN(($B$8*$C$8*$H$8)*MAX(1,ROUNDUP(((F$28)*$B$8*설정!$B$57)/설정!$B$61,0))+((F$28)*$B$8*설정!$B$57)+((F$28)*$C$8*설정!$B$57),($B$8*$C$8*$H$8)+((F$28)*$B$8*설정!$B$57)*MAX(1,ROUNDUP(($B$8*$C$8*$H$8)/설정!$B$61,0))+((F$28)*$C$8*설정!$B$57))</f>
        <v>840892416</v>
      </c>
      <c r="G42" s="67" t="n">
        <f aca="false">($D$8)*MIN(($B$8*$C$8*$H$8)*MAX(1,ROUNDUP(((G$28)*$B$8*설정!$B$57)/설정!$B$61,0))+((G$28)*$B$8*설정!$B$57)+((G$28)*$C$8*설정!$B$57),($B$8*$C$8*$H$8)+((G$28)*$B$8*설정!$B$57)*MAX(1,ROUNDUP(($B$8*$C$8*$H$8)/설정!$B$61,0))+((G$28)*$C$8*설정!$B$57))</f>
        <v>1545535488</v>
      </c>
      <c r="H42" s="67" t="n">
        <f aca="false">($D$8)*MIN(($B$8*$C$8*$H$8)*MAX(1,ROUNDUP(((H$28)*$B$8*설정!$B$57)/설정!$B$61,0))+((H$28)*$B$8*설정!$B$57)+((H$28)*$C$8*설정!$B$57),($B$8*$C$8*$H$8)+((H$28)*$B$8*설정!$B$57)*MAX(1,ROUNDUP(($B$8*$C$8*$H$8)/설정!$B$61,0))+((H$28)*$C$8*설정!$B$57))</f>
        <v>2954821632</v>
      </c>
      <c r="I42" s="2"/>
    </row>
    <row r="43" customFormat="false" ht="17.15" hidden="false" customHeight="false" outlineLevel="0" collapsed="false">
      <c r="A43" s="30" t="s">
        <v>292</v>
      </c>
      <c r="B43" s="68" t="n">
        <f aca="false">MAX(B41/$I$8,B42/설정!$B$60)*1000</f>
        <v>3.10332235294118</v>
      </c>
      <c r="C43" s="68" t="n">
        <f aca="false">MAX(C41/$I$8,C42/설정!$B$60)*1000</f>
        <v>5.637144576</v>
      </c>
      <c r="D43" s="68" t="n">
        <f aca="false">MAX(D41/$I$8,D42/설정!$B$60)*1000</f>
        <v>11.274289152</v>
      </c>
      <c r="E43" s="68" t="n">
        <f aca="false">MAX(E41/$I$8,E42/설정!$B$60)*1000</f>
        <v>22.548578304</v>
      </c>
      <c r="F43" s="68" t="n">
        <f aca="false">MAX(F41/$I$8,F42/설정!$B$60)*1000</f>
        <v>45.097156608</v>
      </c>
      <c r="G43" s="68" t="n">
        <f aca="false">MAX(G41/$I$8,G42/설정!$B$60)*1000</f>
        <v>90.194313216</v>
      </c>
      <c r="H43" s="68" t="n">
        <f aca="false">MAX(H41/$I$8,H42/설정!$B$60)*1000</f>
        <v>180.388626432</v>
      </c>
      <c r="I43" s="2"/>
    </row>
    <row r="44" customFormat="false" ht="17.15" hidden="false" customHeight="false" outlineLevel="0" collapsed="false">
      <c r="A44" s="30" t="s">
        <v>293</v>
      </c>
      <c r="B44" s="67" t="n">
        <f aca="false">($D$9)*2*(B$28)*$B$9*$C$9</f>
        <v>0</v>
      </c>
      <c r="C44" s="67" t="n">
        <f aca="false">($D$9)*2*(C$28)*$B$9*$C$9</f>
        <v>0</v>
      </c>
      <c r="D44" s="67" t="n">
        <f aca="false">($D$9)*2*(D$28)*$B$9*$C$9</f>
        <v>0</v>
      </c>
      <c r="E44" s="67" t="n">
        <f aca="false">($D$9)*2*(E$28)*$B$9*$C$9</f>
        <v>0</v>
      </c>
      <c r="F44" s="67" t="n">
        <f aca="false">($D$9)*2*(F$28)*$B$9*$C$9</f>
        <v>0</v>
      </c>
      <c r="G44" s="67" t="n">
        <f aca="false">($D$9)*2*(G$28)*$B$9*$C$9</f>
        <v>0</v>
      </c>
      <c r="H44" s="67" t="n">
        <f aca="false">($D$9)*2*(H$28)*$B$9*$C$9</f>
        <v>0</v>
      </c>
      <c r="I44" s="2"/>
    </row>
    <row r="45" customFormat="false" ht="17.15" hidden="false" customHeight="false" outlineLevel="0" collapsed="false">
      <c r="A45" s="30" t="s">
        <v>294</v>
      </c>
      <c r="B45" s="67" t="n">
        <f aca="false">($D$9)*MIN(($B$9*$C$9*$H$9)*MAX(1,ROUNDUP(((B$28)*$B$9*설정!$B$57)/설정!$B$61,0))+((B$28)*$B$9*설정!$B$57)+((B$28)*$C$9*설정!$B$57),($B$9*$C$9*$H$9)+((B$28)*$B$9*설정!$B$57)*MAX(1,ROUNDUP(($B$9*$C$9*$H$9)/설정!$B$61,0))+((B$28)*$C$9*설정!$B$57))</f>
        <v>0</v>
      </c>
      <c r="C45" s="67" t="n">
        <f aca="false">($D$9)*MIN(($B$9*$C$9*$H$9)*MAX(1,ROUNDUP(((C$28)*$B$9*설정!$B$57)/설정!$B$61,0))+((C$28)*$B$9*설정!$B$57)+((C$28)*$C$9*설정!$B$57),($B$9*$C$9*$H$9)+((C$28)*$B$9*설정!$B$57)*MAX(1,ROUNDUP(($B$9*$C$9*$H$9)/설정!$B$61,0))+((C$28)*$C$9*설정!$B$57))</f>
        <v>0</v>
      </c>
      <c r="D45" s="67" t="n">
        <f aca="false">($D$9)*MIN(($B$9*$C$9*$H$9)*MAX(1,ROUNDUP(((D$28)*$B$9*설정!$B$57)/설정!$B$61,0))+((D$28)*$B$9*설정!$B$57)+((D$28)*$C$9*설정!$B$57),($B$9*$C$9*$H$9)+((D$28)*$B$9*설정!$B$57)*MAX(1,ROUNDUP(($B$9*$C$9*$H$9)/설정!$B$61,0))+((D$28)*$C$9*설정!$B$57))</f>
        <v>0</v>
      </c>
      <c r="E45" s="67" t="n">
        <f aca="false">($D$9)*MIN(($B$9*$C$9*$H$9)*MAX(1,ROUNDUP(((E$28)*$B$9*설정!$B$57)/설정!$B$61,0))+((E$28)*$B$9*설정!$B$57)+((E$28)*$C$9*설정!$B$57),($B$9*$C$9*$H$9)+((E$28)*$B$9*설정!$B$57)*MAX(1,ROUNDUP(($B$9*$C$9*$H$9)/설정!$B$61,0))+((E$28)*$C$9*설정!$B$57))</f>
        <v>0</v>
      </c>
      <c r="F45" s="67" t="n">
        <f aca="false">($D$9)*MIN(($B$9*$C$9*$H$9)*MAX(1,ROUNDUP(((F$28)*$B$9*설정!$B$57)/설정!$B$61,0))+((F$28)*$B$9*설정!$B$57)+((F$28)*$C$9*설정!$B$57),($B$9*$C$9*$H$9)+((F$28)*$B$9*설정!$B$57)*MAX(1,ROUNDUP(($B$9*$C$9*$H$9)/설정!$B$61,0))+((F$28)*$C$9*설정!$B$57))</f>
        <v>0</v>
      </c>
      <c r="G45" s="67" t="n">
        <f aca="false">($D$9)*MIN(($B$9*$C$9*$H$9)*MAX(1,ROUNDUP(((G$28)*$B$9*설정!$B$57)/설정!$B$61,0))+((G$28)*$B$9*설정!$B$57)+((G$28)*$C$9*설정!$B$57),($B$9*$C$9*$H$9)+((G$28)*$B$9*설정!$B$57)*MAX(1,ROUNDUP(($B$9*$C$9*$H$9)/설정!$B$61,0))+((G$28)*$C$9*설정!$B$57))</f>
        <v>0</v>
      </c>
      <c r="H45" s="67" t="n">
        <f aca="false">($D$9)*MIN(($B$9*$C$9*$H$9)*MAX(1,ROUNDUP(((H$28)*$B$9*설정!$B$57)/설정!$B$61,0))+((H$28)*$B$9*설정!$B$57)+((H$28)*$C$9*설정!$B$57),($B$9*$C$9*$H$9)+((H$28)*$B$9*설정!$B$57)*MAX(1,ROUNDUP(($B$9*$C$9*$H$9)/설정!$B$61,0))+((H$28)*$C$9*설정!$B$57))</f>
        <v>0</v>
      </c>
      <c r="I45" s="2"/>
    </row>
    <row r="46" customFormat="false" ht="17.15" hidden="false" customHeight="false" outlineLevel="0" collapsed="false">
      <c r="A46" s="30" t="s">
        <v>295</v>
      </c>
      <c r="B46" s="68" t="n">
        <f aca="false">MAX(B44/$I$9,B45/설정!$B$60)*1000</f>
        <v>0</v>
      </c>
      <c r="C46" s="68" t="n">
        <f aca="false">MAX(C44/$I$9,C45/설정!$B$60)*1000</f>
        <v>0</v>
      </c>
      <c r="D46" s="68" t="n">
        <f aca="false">MAX(D44/$I$9,D45/설정!$B$60)*1000</f>
        <v>0</v>
      </c>
      <c r="E46" s="68" t="n">
        <f aca="false">MAX(E44/$I$9,E45/설정!$B$60)*1000</f>
        <v>0</v>
      </c>
      <c r="F46" s="68" t="n">
        <f aca="false">MAX(F44/$I$9,F45/설정!$B$60)*1000</f>
        <v>0</v>
      </c>
      <c r="G46" s="68" t="n">
        <f aca="false">MAX(G44/$I$9,G45/설정!$B$60)*1000</f>
        <v>0</v>
      </c>
      <c r="H46" s="68" t="n">
        <f aca="false">MAX(H44/$I$9,H45/설정!$B$60)*1000</f>
        <v>0</v>
      </c>
      <c r="I46" s="2"/>
    </row>
    <row r="47" customFormat="false" ht="17.15" hidden="false" customHeight="false" outlineLevel="0" collapsed="false">
      <c r="A47" s="30" t="s">
        <v>296</v>
      </c>
      <c r="B47" s="67" t="n">
        <f aca="false">($D$10)*2*(B$28)*$B$10*$C$10</f>
        <v>0</v>
      </c>
      <c r="C47" s="67" t="n">
        <f aca="false">($D$10)*2*(C$28)*$B$10*$C$10</f>
        <v>0</v>
      </c>
      <c r="D47" s="67" t="n">
        <f aca="false">($D$10)*2*(D$28)*$B$10*$C$10</f>
        <v>0</v>
      </c>
      <c r="E47" s="67" t="n">
        <f aca="false">($D$10)*2*(E$28)*$B$10*$C$10</f>
        <v>0</v>
      </c>
      <c r="F47" s="67" t="n">
        <f aca="false">($D$10)*2*(F$28)*$B$10*$C$10</f>
        <v>0</v>
      </c>
      <c r="G47" s="67" t="n">
        <f aca="false">($D$10)*2*(G$28)*$B$10*$C$10</f>
        <v>0</v>
      </c>
      <c r="H47" s="67" t="n">
        <f aca="false">($D$10)*2*(H$28)*$B$10*$C$10</f>
        <v>0</v>
      </c>
      <c r="I47" s="2"/>
    </row>
    <row r="48" customFormat="false" ht="17.15" hidden="false" customHeight="false" outlineLevel="0" collapsed="false">
      <c r="A48" s="30" t="s">
        <v>297</v>
      </c>
      <c r="B48" s="67" t="n">
        <f aca="false">($D$10)*MIN(($B$10*$C$10*$H$10)*MAX(1,ROUNDUP(((B$28)*$B$10*설정!$B$57)/설정!$B$61,0))+((B$28)*$B$10*설정!$B$57)+((B$28)*$C$10*설정!$B$57),($B$10*$C$10*$H$10)+((B$28)*$B$10*설정!$B$57)*MAX(1,ROUNDUP(($B$10*$C$10*$H$10)/설정!$B$61,0))+((B$28)*$C$10*설정!$B$57))</f>
        <v>0</v>
      </c>
      <c r="C48" s="67" t="n">
        <f aca="false">($D$10)*MIN(($B$10*$C$10*$H$10)*MAX(1,ROUNDUP(((C$28)*$B$10*설정!$B$57)/설정!$B$61,0))+((C$28)*$B$10*설정!$B$57)+((C$28)*$C$10*설정!$B$57),($B$10*$C$10*$H$10)+((C$28)*$B$10*설정!$B$57)*MAX(1,ROUNDUP(($B$10*$C$10*$H$10)/설정!$B$61,0))+((C$28)*$C$10*설정!$B$57))</f>
        <v>0</v>
      </c>
      <c r="D48" s="67" t="n">
        <f aca="false">($D$10)*MIN(($B$10*$C$10*$H$10)*MAX(1,ROUNDUP(((D$28)*$B$10*설정!$B$57)/설정!$B$61,0))+((D$28)*$B$10*설정!$B$57)+((D$28)*$C$10*설정!$B$57),($B$10*$C$10*$H$10)+((D$28)*$B$10*설정!$B$57)*MAX(1,ROUNDUP(($B$10*$C$10*$H$10)/설정!$B$61,0))+((D$28)*$C$10*설정!$B$57))</f>
        <v>0</v>
      </c>
      <c r="E48" s="67" t="n">
        <f aca="false">($D$10)*MIN(($B$10*$C$10*$H$10)*MAX(1,ROUNDUP(((E$28)*$B$10*설정!$B$57)/설정!$B$61,0))+((E$28)*$B$10*설정!$B$57)+((E$28)*$C$10*설정!$B$57),($B$10*$C$10*$H$10)+((E$28)*$B$10*설정!$B$57)*MAX(1,ROUNDUP(($B$10*$C$10*$H$10)/설정!$B$61,0))+((E$28)*$C$10*설정!$B$57))</f>
        <v>0</v>
      </c>
      <c r="F48" s="67" t="n">
        <f aca="false">($D$10)*MIN(($B$10*$C$10*$H$10)*MAX(1,ROUNDUP(((F$28)*$B$10*설정!$B$57)/설정!$B$61,0))+((F$28)*$B$10*설정!$B$57)+((F$28)*$C$10*설정!$B$57),($B$10*$C$10*$H$10)+((F$28)*$B$10*설정!$B$57)*MAX(1,ROUNDUP(($B$10*$C$10*$H$10)/설정!$B$61,0))+((F$28)*$C$10*설정!$B$57))</f>
        <v>0</v>
      </c>
      <c r="G48" s="67" t="n">
        <f aca="false">($D$10)*MIN(($B$10*$C$10*$H$10)*MAX(1,ROUNDUP(((G$28)*$B$10*설정!$B$57)/설정!$B$61,0))+((G$28)*$B$10*설정!$B$57)+((G$28)*$C$10*설정!$B$57),($B$10*$C$10*$H$10)+((G$28)*$B$10*설정!$B$57)*MAX(1,ROUNDUP(($B$10*$C$10*$H$10)/설정!$B$61,0))+((G$28)*$C$10*설정!$B$57))</f>
        <v>0</v>
      </c>
      <c r="H48" s="67" t="n">
        <f aca="false">($D$10)*MIN(($B$10*$C$10*$H$10)*MAX(1,ROUNDUP(((H$28)*$B$10*설정!$B$57)/설정!$B$61,0))+((H$28)*$B$10*설정!$B$57)+((H$28)*$C$10*설정!$B$57),($B$10*$C$10*$H$10)+((H$28)*$B$10*설정!$B$57)*MAX(1,ROUNDUP(($B$10*$C$10*$H$10)/설정!$B$61,0))+((H$28)*$C$10*설정!$B$57))</f>
        <v>0</v>
      </c>
      <c r="I48" s="2"/>
    </row>
    <row r="49" customFormat="false" ht="17.15" hidden="false" customHeight="false" outlineLevel="0" collapsed="false">
      <c r="A49" s="30" t="s">
        <v>298</v>
      </c>
      <c r="B49" s="68" t="n">
        <f aca="false">MAX(B47/$I$10,B48/설정!$B$60)*1000</f>
        <v>0</v>
      </c>
      <c r="C49" s="68" t="n">
        <f aca="false">MAX(C47/$I$10,C48/설정!$B$60)*1000</f>
        <v>0</v>
      </c>
      <c r="D49" s="68" t="n">
        <f aca="false">MAX(D47/$I$10,D48/설정!$B$60)*1000</f>
        <v>0</v>
      </c>
      <c r="E49" s="68" t="n">
        <f aca="false">MAX(E47/$I$10,E48/설정!$B$60)*1000</f>
        <v>0</v>
      </c>
      <c r="F49" s="68" t="n">
        <f aca="false">MAX(F47/$I$10,F48/설정!$B$60)*1000</f>
        <v>0</v>
      </c>
      <c r="G49" s="68" t="n">
        <f aca="false">MAX(G47/$I$10,G48/설정!$B$60)*1000</f>
        <v>0</v>
      </c>
      <c r="H49" s="68" t="n">
        <f aca="false">MAX(H47/$I$10,H48/설정!$B$60)*1000</f>
        <v>0</v>
      </c>
      <c r="I49" s="2"/>
    </row>
    <row r="50" customFormat="false" ht="17.15" hidden="false" customHeight="false" outlineLevel="0" collapsed="false">
      <c r="A50" s="30" t="s">
        <v>299</v>
      </c>
      <c r="B50" s="67" t="n">
        <f aca="false">($D$11)*2*(B$28)*$B$11*$C$11</f>
        <v>0</v>
      </c>
      <c r="C50" s="67" t="n">
        <f aca="false">($D$11)*2*(C$28)*$B$11*$C$11</f>
        <v>0</v>
      </c>
      <c r="D50" s="67" t="n">
        <f aca="false">($D$11)*2*(D$28)*$B$11*$C$11</f>
        <v>0</v>
      </c>
      <c r="E50" s="67" t="n">
        <f aca="false">($D$11)*2*(E$28)*$B$11*$C$11</f>
        <v>0</v>
      </c>
      <c r="F50" s="67" t="n">
        <f aca="false">($D$11)*2*(F$28)*$B$11*$C$11</f>
        <v>0</v>
      </c>
      <c r="G50" s="67" t="n">
        <f aca="false">($D$11)*2*(G$28)*$B$11*$C$11</f>
        <v>0</v>
      </c>
      <c r="H50" s="67" t="n">
        <f aca="false">($D$11)*2*(H$28)*$B$11*$C$11</f>
        <v>0</v>
      </c>
      <c r="I50" s="2"/>
    </row>
    <row r="51" customFormat="false" ht="17.15" hidden="false" customHeight="false" outlineLevel="0" collapsed="false">
      <c r="A51" s="30" t="s">
        <v>300</v>
      </c>
      <c r="B51" s="67" t="n">
        <f aca="false">($D$11)*MIN(($B$11*$C$11*$H$11)*MAX(1,ROUNDUP(((B$28)*$B$11*설정!$B$57)/설정!$B$61,0))+((B$28)*$B$11*설정!$B$57)+((B$28)*$C$11*설정!$B$57),($B$11*$C$11*$H$11)+((B$28)*$B$11*설정!$B$57)*MAX(1,ROUNDUP(($B$11*$C$11*$H$11)/설정!$B$61,0))+((B$28)*$C$11*설정!$B$57))</f>
        <v>0</v>
      </c>
      <c r="C51" s="67" t="n">
        <f aca="false">($D$11)*MIN(($B$11*$C$11*$H$11)*MAX(1,ROUNDUP(((C$28)*$B$11*설정!$B$57)/설정!$B$61,0))+((C$28)*$B$11*설정!$B$57)+((C$28)*$C$11*설정!$B$57),($B$11*$C$11*$H$11)+((C$28)*$B$11*설정!$B$57)*MAX(1,ROUNDUP(($B$11*$C$11*$H$11)/설정!$B$61,0))+((C$28)*$C$11*설정!$B$57))</f>
        <v>0</v>
      </c>
      <c r="D51" s="67" t="n">
        <f aca="false">($D$11)*MIN(($B$11*$C$11*$H$11)*MAX(1,ROUNDUP(((D$28)*$B$11*설정!$B$57)/설정!$B$61,0))+((D$28)*$B$11*설정!$B$57)+((D$28)*$C$11*설정!$B$57),($B$11*$C$11*$H$11)+((D$28)*$B$11*설정!$B$57)*MAX(1,ROUNDUP(($B$11*$C$11*$H$11)/설정!$B$61,0))+((D$28)*$C$11*설정!$B$57))</f>
        <v>0</v>
      </c>
      <c r="E51" s="67" t="n">
        <f aca="false">($D$11)*MIN(($B$11*$C$11*$H$11)*MAX(1,ROUNDUP(((E$28)*$B$11*설정!$B$57)/설정!$B$61,0))+((E$28)*$B$11*설정!$B$57)+((E$28)*$C$11*설정!$B$57),($B$11*$C$11*$H$11)+((E$28)*$B$11*설정!$B$57)*MAX(1,ROUNDUP(($B$11*$C$11*$H$11)/설정!$B$61,0))+((E$28)*$C$11*설정!$B$57))</f>
        <v>0</v>
      </c>
      <c r="F51" s="67" t="n">
        <f aca="false">($D$11)*MIN(($B$11*$C$11*$H$11)*MAX(1,ROUNDUP(((F$28)*$B$11*설정!$B$57)/설정!$B$61,0))+((F$28)*$B$11*설정!$B$57)+((F$28)*$C$11*설정!$B$57),($B$11*$C$11*$H$11)+((F$28)*$B$11*설정!$B$57)*MAX(1,ROUNDUP(($B$11*$C$11*$H$11)/설정!$B$61,0))+((F$28)*$C$11*설정!$B$57))</f>
        <v>0</v>
      </c>
      <c r="G51" s="67" t="n">
        <f aca="false">($D$11)*MIN(($B$11*$C$11*$H$11)*MAX(1,ROUNDUP(((G$28)*$B$11*설정!$B$57)/설정!$B$61,0))+((G$28)*$B$11*설정!$B$57)+((G$28)*$C$11*설정!$B$57),($B$11*$C$11*$H$11)+((G$28)*$B$11*설정!$B$57)*MAX(1,ROUNDUP(($B$11*$C$11*$H$11)/설정!$B$61,0))+((G$28)*$C$11*설정!$B$57))</f>
        <v>0</v>
      </c>
      <c r="H51" s="67" t="n">
        <f aca="false">($D$11)*MIN(($B$11*$C$11*$H$11)*MAX(1,ROUNDUP(((H$28)*$B$11*설정!$B$57)/설정!$B$61,0))+((H$28)*$B$11*설정!$B$57)+((H$28)*$C$11*설정!$B$57),($B$11*$C$11*$H$11)+((H$28)*$B$11*설정!$B$57)*MAX(1,ROUNDUP(($B$11*$C$11*$H$11)/설정!$B$61,0))+((H$28)*$C$11*설정!$B$57))</f>
        <v>0</v>
      </c>
      <c r="I51" s="2"/>
    </row>
    <row r="52" customFormat="false" ht="17.15" hidden="false" customHeight="false" outlineLevel="0" collapsed="false">
      <c r="A52" s="30" t="s">
        <v>301</v>
      </c>
      <c r="B52" s="68" t="n">
        <f aca="false">MAX(B50/$I$11,B51/설정!$B$60)*1000</f>
        <v>0</v>
      </c>
      <c r="C52" s="68" t="n">
        <f aca="false">MAX(C50/$I$11,C51/설정!$B$60)*1000</f>
        <v>0</v>
      </c>
      <c r="D52" s="68" t="n">
        <f aca="false">MAX(D50/$I$11,D51/설정!$B$60)*1000</f>
        <v>0</v>
      </c>
      <c r="E52" s="68" t="n">
        <f aca="false">MAX(E50/$I$11,E51/설정!$B$60)*1000</f>
        <v>0</v>
      </c>
      <c r="F52" s="68" t="n">
        <f aca="false">MAX(F50/$I$11,F51/설정!$B$60)*1000</f>
        <v>0</v>
      </c>
      <c r="G52" s="68" t="n">
        <f aca="false">MAX(G50/$I$11,G51/설정!$B$60)*1000</f>
        <v>0</v>
      </c>
      <c r="H52" s="68" t="n">
        <f aca="false">MAX(H50/$I$11,H51/설정!$B$60)*1000</f>
        <v>0</v>
      </c>
      <c r="I52" s="2"/>
    </row>
    <row r="53" customFormat="false" ht="17.15" hidden="false" customHeight="false" outlineLevel="0" collapsed="false">
      <c r="A53" s="30" t="s">
        <v>302</v>
      </c>
      <c r="B53" s="67" t="n">
        <f aca="false">($D$12)*2*(B$28)*$B$12*$C$12</f>
        <v>0</v>
      </c>
      <c r="C53" s="67" t="n">
        <f aca="false">($D$12)*2*(C$28)*$B$12*$C$12</f>
        <v>0</v>
      </c>
      <c r="D53" s="67" t="n">
        <f aca="false">($D$12)*2*(D$28)*$B$12*$C$12</f>
        <v>0</v>
      </c>
      <c r="E53" s="67" t="n">
        <f aca="false">($D$12)*2*(E$28)*$B$12*$C$12</f>
        <v>0</v>
      </c>
      <c r="F53" s="67" t="n">
        <f aca="false">($D$12)*2*(F$28)*$B$12*$C$12</f>
        <v>0</v>
      </c>
      <c r="G53" s="67" t="n">
        <f aca="false">($D$12)*2*(G$28)*$B$12*$C$12</f>
        <v>0</v>
      </c>
      <c r="H53" s="67" t="n">
        <f aca="false">($D$12)*2*(H$28)*$B$12*$C$12</f>
        <v>0</v>
      </c>
      <c r="I53" s="2"/>
    </row>
    <row r="54" customFormat="false" ht="17.15" hidden="false" customHeight="false" outlineLevel="0" collapsed="false">
      <c r="A54" s="30" t="s">
        <v>303</v>
      </c>
      <c r="B54" s="67" t="n">
        <f aca="false">($D$12)*MIN(($B$12*$C$12*$H$12)*MAX(1,ROUNDUP(((B$28)*$B$12*설정!$B$57)/설정!$B$61,0))+((B$28)*$B$12*설정!$B$57)+((B$28)*$C$12*설정!$B$57),($B$12*$C$12*$H$12)+((B$28)*$B$12*설정!$B$57)*MAX(1,ROUNDUP(($B$12*$C$12*$H$12)/설정!$B$61,0))+((B$28)*$C$12*설정!$B$57))</f>
        <v>0</v>
      </c>
      <c r="C54" s="67" t="n">
        <f aca="false">($D$12)*MIN(($B$12*$C$12*$H$12)*MAX(1,ROUNDUP(((C$28)*$B$12*설정!$B$57)/설정!$B$61,0))+((C$28)*$B$12*설정!$B$57)+((C$28)*$C$12*설정!$B$57),($B$12*$C$12*$H$12)+((C$28)*$B$12*설정!$B$57)*MAX(1,ROUNDUP(($B$12*$C$12*$H$12)/설정!$B$61,0))+((C$28)*$C$12*설정!$B$57))</f>
        <v>0</v>
      </c>
      <c r="D54" s="67" t="n">
        <f aca="false">($D$12)*MIN(($B$12*$C$12*$H$12)*MAX(1,ROUNDUP(((D$28)*$B$12*설정!$B$57)/설정!$B$61,0))+((D$28)*$B$12*설정!$B$57)+((D$28)*$C$12*설정!$B$57),($B$12*$C$12*$H$12)+((D$28)*$B$12*설정!$B$57)*MAX(1,ROUNDUP(($B$12*$C$12*$H$12)/설정!$B$61,0))+((D$28)*$C$12*설정!$B$57))</f>
        <v>0</v>
      </c>
      <c r="E54" s="67" t="n">
        <f aca="false">($D$12)*MIN(($B$12*$C$12*$H$12)*MAX(1,ROUNDUP(((E$28)*$B$12*설정!$B$57)/설정!$B$61,0))+((E$28)*$B$12*설정!$B$57)+((E$28)*$C$12*설정!$B$57),($B$12*$C$12*$H$12)+((E$28)*$B$12*설정!$B$57)*MAX(1,ROUNDUP(($B$12*$C$12*$H$12)/설정!$B$61,0))+((E$28)*$C$12*설정!$B$57))</f>
        <v>0</v>
      </c>
      <c r="F54" s="67" t="n">
        <f aca="false">($D$12)*MIN(($B$12*$C$12*$H$12)*MAX(1,ROUNDUP(((F$28)*$B$12*설정!$B$57)/설정!$B$61,0))+((F$28)*$B$12*설정!$B$57)+((F$28)*$C$12*설정!$B$57),($B$12*$C$12*$H$12)+((F$28)*$B$12*설정!$B$57)*MAX(1,ROUNDUP(($B$12*$C$12*$H$12)/설정!$B$61,0))+((F$28)*$C$12*설정!$B$57))</f>
        <v>0</v>
      </c>
      <c r="G54" s="67" t="n">
        <f aca="false">($D$12)*MIN(($B$12*$C$12*$H$12)*MAX(1,ROUNDUP(((G$28)*$B$12*설정!$B$57)/설정!$B$61,0))+((G$28)*$B$12*설정!$B$57)+((G$28)*$C$12*설정!$B$57),($B$12*$C$12*$H$12)+((G$28)*$B$12*설정!$B$57)*MAX(1,ROUNDUP(($B$12*$C$12*$H$12)/설정!$B$61,0))+((G$28)*$C$12*설정!$B$57))</f>
        <v>0</v>
      </c>
      <c r="H54" s="67" t="n">
        <f aca="false">($D$12)*MIN(($B$12*$C$12*$H$12)*MAX(1,ROUNDUP(((H$28)*$B$12*설정!$B$57)/설정!$B$61,0))+((H$28)*$B$12*설정!$B$57)+((H$28)*$C$12*설정!$B$57),($B$12*$C$12*$H$12)+((H$28)*$B$12*설정!$B$57)*MAX(1,ROUNDUP(($B$12*$C$12*$H$12)/설정!$B$61,0))+((H$28)*$C$12*설정!$B$57))</f>
        <v>0</v>
      </c>
      <c r="I54" s="2"/>
    </row>
    <row r="55" customFormat="false" ht="17.15" hidden="false" customHeight="false" outlineLevel="0" collapsed="false">
      <c r="A55" s="30" t="s">
        <v>304</v>
      </c>
      <c r="B55" s="68" t="n">
        <f aca="false">MAX(B53/$I$12,B54/설정!$B$60)*1000</f>
        <v>0</v>
      </c>
      <c r="C55" s="68" t="n">
        <f aca="false">MAX(C53/$I$12,C54/설정!$B$60)*1000</f>
        <v>0</v>
      </c>
      <c r="D55" s="68" t="n">
        <f aca="false">MAX(D53/$I$12,D54/설정!$B$60)*1000</f>
        <v>0</v>
      </c>
      <c r="E55" s="68" t="n">
        <f aca="false">MAX(E53/$I$12,E54/설정!$B$60)*1000</f>
        <v>0</v>
      </c>
      <c r="F55" s="68" t="n">
        <f aca="false">MAX(F53/$I$12,F54/설정!$B$60)*1000</f>
        <v>0</v>
      </c>
      <c r="G55" s="68" t="n">
        <f aca="false">MAX(G53/$I$12,G54/설정!$B$60)*1000</f>
        <v>0</v>
      </c>
      <c r="H55" s="68" t="n">
        <f aca="false">MAX(H53/$I$12,H54/설정!$B$60)*1000</f>
        <v>0</v>
      </c>
      <c r="I55" s="2"/>
    </row>
    <row r="56" customFormat="false" ht="17.15" hidden="false" customHeight="false" outlineLevel="0" collapsed="false">
      <c r="A56" s="30" t="s">
        <v>305</v>
      </c>
      <c r="B56" s="67" t="n">
        <f aca="false">($D$13)*2*(B$28)*$B$13*$C$13</f>
        <v>0</v>
      </c>
      <c r="C56" s="67" t="n">
        <f aca="false">($D$13)*2*(C$28)*$B$13*$C$13</f>
        <v>0</v>
      </c>
      <c r="D56" s="67" t="n">
        <f aca="false">($D$13)*2*(D$28)*$B$13*$C$13</f>
        <v>0</v>
      </c>
      <c r="E56" s="67" t="n">
        <f aca="false">($D$13)*2*(E$28)*$B$13*$C$13</f>
        <v>0</v>
      </c>
      <c r="F56" s="67" t="n">
        <f aca="false">($D$13)*2*(F$28)*$B$13*$C$13</f>
        <v>0</v>
      </c>
      <c r="G56" s="67" t="n">
        <f aca="false">($D$13)*2*(G$28)*$B$13*$C$13</f>
        <v>0</v>
      </c>
      <c r="H56" s="67" t="n">
        <f aca="false">($D$13)*2*(H$28)*$B$13*$C$13</f>
        <v>0</v>
      </c>
      <c r="I56" s="2"/>
    </row>
    <row r="57" customFormat="false" ht="17.15" hidden="false" customHeight="false" outlineLevel="0" collapsed="false">
      <c r="A57" s="30" t="s">
        <v>306</v>
      </c>
      <c r="B57" s="67" t="n">
        <f aca="false">($D$13)*MIN(($B$13*$C$13*$H$13)*MAX(1,ROUNDUP(((B$28)*$B$13*설정!$B$57)/설정!$B$61,0))+((B$28)*$B$13*설정!$B$57)+((B$28)*$C$13*설정!$B$57),($B$13*$C$13*$H$13)+((B$28)*$B$13*설정!$B$57)*MAX(1,ROUNDUP(($B$13*$C$13*$H$13)/설정!$B$61,0))+((B$28)*$C$13*설정!$B$57))</f>
        <v>0</v>
      </c>
      <c r="C57" s="67" t="n">
        <f aca="false">($D$13)*MIN(($B$13*$C$13*$H$13)*MAX(1,ROUNDUP(((C$28)*$B$13*설정!$B$57)/설정!$B$61,0))+((C$28)*$B$13*설정!$B$57)+((C$28)*$C$13*설정!$B$57),($B$13*$C$13*$H$13)+((C$28)*$B$13*설정!$B$57)*MAX(1,ROUNDUP(($B$13*$C$13*$H$13)/설정!$B$61,0))+((C$28)*$C$13*설정!$B$57))</f>
        <v>0</v>
      </c>
      <c r="D57" s="67" t="n">
        <f aca="false">($D$13)*MIN(($B$13*$C$13*$H$13)*MAX(1,ROUNDUP(((D$28)*$B$13*설정!$B$57)/설정!$B$61,0))+((D$28)*$B$13*설정!$B$57)+((D$28)*$C$13*설정!$B$57),($B$13*$C$13*$H$13)+((D$28)*$B$13*설정!$B$57)*MAX(1,ROUNDUP(($B$13*$C$13*$H$13)/설정!$B$61,0))+((D$28)*$C$13*설정!$B$57))</f>
        <v>0</v>
      </c>
      <c r="E57" s="67" t="n">
        <f aca="false">($D$13)*MIN(($B$13*$C$13*$H$13)*MAX(1,ROUNDUP(((E$28)*$B$13*설정!$B$57)/설정!$B$61,0))+((E$28)*$B$13*설정!$B$57)+((E$28)*$C$13*설정!$B$57),($B$13*$C$13*$H$13)+((E$28)*$B$13*설정!$B$57)*MAX(1,ROUNDUP(($B$13*$C$13*$H$13)/설정!$B$61,0))+((E$28)*$C$13*설정!$B$57))</f>
        <v>0</v>
      </c>
      <c r="F57" s="67" t="n">
        <f aca="false">($D$13)*MIN(($B$13*$C$13*$H$13)*MAX(1,ROUNDUP(((F$28)*$B$13*설정!$B$57)/설정!$B$61,0))+((F$28)*$B$13*설정!$B$57)+((F$28)*$C$13*설정!$B$57),($B$13*$C$13*$H$13)+((F$28)*$B$13*설정!$B$57)*MAX(1,ROUNDUP(($B$13*$C$13*$H$13)/설정!$B$61,0))+((F$28)*$C$13*설정!$B$57))</f>
        <v>0</v>
      </c>
      <c r="G57" s="67" t="n">
        <f aca="false">($D$13)*MIN(($B$13*$C$13*$H$13)*MAX(1,ROUNDUP(((G$28)*$B$13*설정!$B$57)/설정!$B$61,0))+((G$28)*$B$13*설정!$B$57)+((G$28)*$C$13*설정!$B$57),($B$13*$C$13*$H$13)+((G$28)*$B$13*설정!$B$57)*MAX(1,ROUNDUP(($B$13*$C$13*$H$13)/설정!$B$61,0))+((G$28)*$C$13*설정!$B$57))</f>
        <v>0</v>
      </c>
      <c r="H57" s="67" t="n">
        <f aca="false">($D$13)*MIN(($B$13*$C$13*$H$13)*MAX(1,ROUNDUP(((H$28)*$B$13*설정!$B$57)/설정!$B$61,0))+((H$28)*$B$13*설정!$B$57)+((H$28)*$C$13*설정!$B$57),($B$13*$C$13*$H$13)+((H$28)*$B$13*설정!$B$57)*MAX(1,ROUNDUP(($B$13*$C$13*$H$13)/설정!$B$61,0))+((H$28)*$C$13*설정!$B$57))</f>
        <v>0</v>
      </c>
      <c r="I57" s="2"/>
    </row>
    <row r="58" customFormat="false" ht="17.15" hidden="false" customHeight="false" outlineLevel="0" collapsed="false">
      <c r="A58" s="30" t="s">
        <v>307</v>
      </c>
      <c r="B58" s="68" t="n">
        <f aca="false">MAX(B56/$I$13,B57/설정!$B$60)*1000</f>
        <v>0</v>
      </c>
      <c r="C58" s="68" t="n">
        <f aca="false">MAX(C56/$I$13,C57/설정!$B$60)*1000</f>
        <v>0</v>
      </c>
      <c r="D58" s="68" t="n">
        <f aca="false">MAX(D56/$I$13,D57/설정!$B$60)*1000</f>
        <v>0</v>
      </c>
      <c r="E58" s="68" t="n">
        <f aca="false">MAX(E56/$I$13,E57/설정!$B$60)*1000</f>
        <v>0</v>
      </c>
      <c r="F58" s="68" t="n">
        <f aca="false">MAX(F56/$I$13,F57/설정!$B$60)*1000</f>
        <v>0</v>
      </c>
      <c r="G58" s="68" t="n">
        <f aca="false">MAX(G56/$I$13,G57/설정!$B$60)*1000</f>
        <v>0</v>
      </c>
      <c r="H58" s="68" t="n">
        <f aca="false">MAX(H56/$I$13,H57/설정!$B$60)*1000</f>
        <v>0</v>
      </c>
      <c r="I58" s="2"/>
    </row>
    <row r="59" customFormat="false" ht="17.15" hidden="false" customHeight="false" outlineLevel="0" collapsed="false">
      <c r="A59" s="30" t="s">
        <v>308</v>
      </c>
      <c r="B59" s="67" t="n">
        <f aca="false">($D$14)*2*(B$28)*$B$14*$C$14</f>
        <v>0</v>
      </c>
      <c r="C59" s="67" t="n">
        <f aca="false">($D$14)*2*(C$28)*$B$14*$C$14</f>
        <v>0</v>
      </c>
      <c r="D59" s="67" t="n">
        <f aca="false">($D$14)*2*(D$28)*$B$14*$C$14</f>
        <v>0</v>
      </c>
      <c r="E59" s="67" t="n">
        <f aca="false">($D$14)*2*(E$28)*$B$14*$C$14</f>
        <v>0</v>
      </c>
      <c r="F59" s="67" t="n">
        <f aca="false">($D$14)*2*(F$28)*$B$14*$C$14</f>
        <v>0</v>
      </c>
      <c r="G59" s="67" t="n">
        <f aca="false">($D$14)*2*(G$28)*$B$14*$C$14</f>
        <v>0</v>
      </c>
      <c r="H59" s="67" t="n">
        <f aca="false">($D$14)*2*(H$28)*$B$14*$C$14</f>
        <v>0</v>
      </c>
      <c r="I59" s="2"/>
    </row>
    <row r="60" customFormat="false" ht="17.15" hidden="false" customHeight="false" outlineLevel="0" collapsed="false">
      <c r="A60" s="30" t="s">
        <v>309</v>
      </c>
      <c r="B60" s="67" t="n">
        <f aca="false">($D$14)*MIN(($B$14*$C$14*$H$14)*MAX(1,ROUNDUP(((B$28)*$B$14*설정!$B$57)/설정!$B$61,0))+((B$28)*$B$14*설정!$B$57)+((B$28)*$C$14*설정!$B$57),($B$14*$C$14*$H$14)+((B$28)*$B$14*설정!$B$57)*MAX(1,ROUNDUP(($B$14*$C$14*$H$14)/설정!$B$61,0))+((B$28)*$C$14*설정!$B$57))</f>
        <v>0</v>
      </c>
      <c r="C60" s="67" t="n">
        <f aca="false">($D$14)*MIN(($B$14*$C$14*$H$14)*MAX(1,ROUNDUP(((C$28)*$B$14*설정!$B$57)/설정!$B$61,0))+((C$28)*$B$14*설정!$B$57)+((C$28)*$C$14*설정!$B$57),($B$14*$C$14*$H$14)+((C$28)*$B$14*설정!$B$57)*MAX(1,ROUNDUP(($B$14*$C$14*$H$14)/설정!$B$61,0))+((C$28)*$C$14*설정!$B$57))</f>
        <v>0</v>
      </c>
      <c r="D60" s="67" t="n">
        <f aca="false">($D$14)*MIN(($B$14*$C$14*$H$14)*MAX(1,ROUNDUP(((D$28)*$B$14*설정!$B$57)/설정!$B$61,0))+((D$28)*$B$14*설정!$B$57)+((D$28)*$C$14*설정!$B$57),($B$14*$C$14*$H$14)+((D$28)*$B$14*설정!$B$57)*MAX(1,ROUNDUP(($B$14*$C$14*$H$14)/설정!$B$61,0))+((D$28)*$C$14*설정!$B$57))</f>
        <v>0</v>
      </c>
      <c r="E60" s="67" t="n">
        <f aca="false">($D$14)*MIN(($B$14*$C$14*$H$14)*MAX(1,ROUNDUP(((E$28)*$B$14*설정!$B$57)/설정!$B$61,0))+((E$28)*$B$14*설정!$B$57)+((E$28)*$C$14*설정!$B$57),($B$14*$C$14*$H$14)+((E$28)*$B$14*설정!$B$57)*MAX(1,ROUNDUP(($B$14*$C$14*$H$14)/설정!$B$61,0))+((E$28)*$C$14*설정!$B$57))</f>
        <v>0</v>
      </c>
      <c r="F60" s="67" t="n">
        <f aca="false">($D$14)*MIN(($B$14*$C$14*$H$14)*MAX(1,ROUNDUP(((F$28)*$B$14*설정!$B$57)/설정!$B$61,0))+((F$28)*$B$14*설정!$B$57)+((F$28)*$C$14*설정!$B$57),($B$14*$C$14*$H$14)+((F$28)*$B$14*설정!$B$57)*MAX(1,ROUNDUP(($B$14*$C$14*$H$14)/설정!$B$61,0))+((F$28)*$C$14*설정!$B$57))</f>
        <v>0</v>
      </c>
      <c r="G60" s="67" t="n">
        <f aca="false">($D$14)*MIN(($B$14*$C$14*$H$14)*MAX(1,ROUNDUP(((G$28)*$B$14*설정!$B$57)/설정!$B$61,0))+((G$28)*$B$14*설정!$B$57)+((G$28)*$C$14*설정!$B$57),($B$14*$C$14*$H$14)+((G$28)*$B$14*설정!$B$57)*MAX(1,ROUNDUP(($B$14*$C$14*$H$14)/설정!$B$61,0))+((G$28)*$C$14*설정!$B$57))</f>
        <v>0</v>
      </c>
      <c r="H60" s="67" t="n">
        <f aca="false">($D$14)*MIN(($B$14*$C$14*$H$14)*MAX(1,ROUNDUP(((H$28)*$B$14*설정!$B$57)/설정!$B$61,0))+((H$28)*$B$14*설정!$B$57)+((H$28)*$C$14*설정!$B$57),($B$14*$C$14*$H$14)+((H$28)*$B$14*설정!$B$57)*MAX(1,ROUNDUP(($B$14*$C$14*$H$14)/설정!$B$61,0))+((H$28)*$C$14*설정!$B$57))</f>
        <v>0</v>
      </c>
      <c r="I60" s="2"/>
    </row>
    <row r="61" customFormat="false" ht="17.15" hidden="false" customHeight="false" outlineLevel="0" collapsed="false">
      <c r="A61" s="30" t="s">
        <v>310</v>
      </c>
      <c r="B61" s="68" t="n">
        <f aca="false">MAX(B59/$I$14,B60/설정!$B$60)*1000</f>
        <v>0</v>
      </c>
      <c r="C61" s="68" t="n">
        <f aca="false">MAX(C59/$I$14,C60/설정!$B$60)*1000</f>
        <v>0</v>
      </c>
      <c r="D61" s="68" t="n">
        <f aca="false">MAX(D59/$I$14,D60/설정!$B$60)*1000</f>
        <v>0</v>
      </c>
      <c r="E61" s="68" t="n">
        <f aca="false">MAX(E59/$I$14,E60/설정!$B$60)*1000</f>
        <v>0</v>
      </c>
      <c r="F61" s="68" t="n">
        <f aca="false">MAX(F59/$I$14,F60/설정!$B$60)*1000</f>
        <v>0</v>
      </c>
      <c r="G61" s="68" t="n">
        <f aca="false">MAX(G59/$I$14,G60/설정!$B$60)*1000</f>
        <v>0</v>
      </c>
      <c r="H61" s="68" t="n">
        <f aca="false">MAX(H59/$I$14,H60/설정!$B$60)*1000</f>
        <v>0</v>
      </c>
      <c r="I61" s="2"/>
    </row>
    <row r="62" customFormat="false" ht="17.15" hidden="false" customHeight="false" outlineLevel="0" collapsed="false">
      <c r="A62" s="30" t="s">
        <v>311</v>
      </c>
      <c r="B62" s="67" t="n">
        <f aca="false">($D$15)*2*(B$28)*$B$15*$C$15</f>
        <v>0</v>
      </c>
      <c r="C62" s="67" t="n">
        <f aca="false">($D$15)*2*(C$28)*$B$15*$C$15</f>
        <v>0</v>
      </c>
      <c r="D62" s="67" t="n">
        <f aca="false">($D$15)*2*(D$28)*$B$15*$C$15</f>
        <v>0</v>
      </c>
      <c r="E62" s="67" t="n">
        <f aca="false">($D$15)*2*(E$28)*$B$15*$C$15</f>
        <v>0</v>
      </c>
      <c r="F62" s="67" t="n">
        <f aca="false">($D$15)*2*(F$28)*$B$15*$C$15</f>
        <v>0</v>
      </c>
      <c r="G62" s="67" t="n">
        <f aca="false">($D$15)*2*(G$28)*$B$15*$C$15</f>
        <v>0</v>
      </c>
      <c r="H62" s="67" t="n">
        <f aca="false">($D$15)*2*(H$28)*$B$15*$C$15</f>
        <v>0</v>
      </c>
      <c r="I62" s="2"/>
    </row>
    <row r="63" customFormat="false" ht="17.15" hidden="false" customHeight="false" outlineLevel="0" collapsed="false">
      <c r="A63" s="30" t="s">
        <v>312</v>
      </c>
      <c r="B63" s="67" t="n">
        <f aca="false">($D$15)*MIN(($B$15*$C$15*$H$15)*MAX(1,ROUNDUP(((B$28)*$B$15*설정!$B$57)/설정!$B$61,0))+((B$28)*$B$15*설정!$B$57)+((B$28)*$C$15*설정!$B$57),($B$15*$C$15*$H$15)+((B$28)*$B$15*설정!$B$57)*MAX(1,ROUNDUP(($B$15*$C$15*$H$15)/설정!$B$61,0))+((B$28)*$C$15*설정!$B$57))</f>
        <v>0</v>
      </c>
      <c r="C63" s="67" t="n">
        <f aca="false">($D$15)*MIN(($B$15*$C$15*$H$15)*MAX(1,ROUNDUP(((C$28)*$B$15*설정!$B$57)/설정!$B$61,0))+((C$28)*$B$15*설정!$B$57)+((C$28)*$C$15*설정!$B$57),($B$15*$C$15*$H$15)+((C$28)*$B$15*설정!$B$57)*MAX(1,ROUNDUP(($B$15*$C$15*$H$15)/설정!$B$61,0))+((C$28)*$C$15*설정!$B$57))</f>
        <v>0</v>
      </c>
      <c r="D63" s="67" t="n">
        <f aca="false">($D$15)*MIN(($B$15*$C$15*$H$15)*MAX(1,ROUNDUP(((D$28)*$B$15*설정!$B$57)/설정!$B$61,0))+((D$28)*$B$15*설정!$B$57)+((D$28)*$C$15*설정!$B$57),($B$15*$C$15*$H$15)+((D$28)*$B$15*설정!$B$57)*MAX(1,ROUNDUP(($B$15*$C$15*$H$15)/설정!$B$61,0))+((D$28)*$C$15*설정!$B$57))</f>
        <v>0</v>
      </c>
      <c r="E63" s="67" t="n">
        <f aca="false">($D$15)*MIN(($B$15*$C$15*$H$15)*MAX(1,ROUNDUP(((E$28)*$B$15*설정!$B$57)/설정!$B$61,0))+((E$28)*$B$15*설정!$B$57)+((E$28)*$C$15*설정!$B$57),($B$15*$C$15*$H$15)+((E$28)*$B$15*설정!$B$57)*MAX(1,ROUNDUP(($B$15*$C$15*$H$15)/설정!$B$61,0))+((E$28)*$C$15*설정!$B$57))</f>
        <v>0</v>
      </c>
      <c r="F63" s="67" t="n">
        <f aca="false">($D$15)*MIN(($B$15*$C$15*$H$15)*MAX(1,ROUNDUP(((F$28)*$B$15*설정!$B$57)/설정!$B$61,0))+((F$28)*$B$15*설정!$B$57)+((F$28)*$C$15*설정!$B$57),($B$15*$C$15*$H$15)+((F$28)*$B$15*설정!$B$57)*MAX(1,ROUNDUP(($B$15*$C$15*$H$15)/설정!$B$61,0))+((F$28)*$C$15*설정!$B$57))</f>
        <v>0</v>
      </c>
      <c r="G63" s="67" t="n">
        <f aca="false">($D$15)*MIN(($B$15*$C$15*$H$15)*MAX(1,ROUNDUP(((G$28)*$B$15*설정!$B$57)/설정!$B$61,0))+((G$28)*$B$15*설정!$B$57)+((G$28)*$C$15*설정!$B$57),($B$15*$C$15*$H$15)+((G$28)*$B$15*설정!$B$57)*MAX(1,ROUNDUP(($B$15*$C$15*$H$15)/설정!$B$61,0))+((G$28)*$C$15*설정!$B$57))</f>
        <v>0</v>
      </c>
      <c r="H63" s="67" t="n">
        <f aca="false">($D$15)*MIN(($B$15*$C$15*$H$15)*MAX(1,ROUNDUP(((H$28)*$B$15*설정!$B$57)/설정!$B$61,0))+((H$28)*$B$15*설정!$B$57)+((H$28)*$C$15*설정!$B$57),($B$15*$C$15*$H$15)+((H$28)*$B$15*설정!$B$57)*MAX(1,ROUNDUP(($B$15*$C$15*$H$15)/설정!$B$61,0))+((H$28)*$C$15*설정!$B$57))</f>
        <v>0</v>
      </c>
      <c r="I63" s="2"/>
    </row>
    <row r="64" customFormat="false" ht="17.15" hidden="false" customHeight="false" outlineLevel="0" collapsed="false">
      <c r="A64" s="30" t="s">
        <v>313</v>
      </c>
      <c r="B64" s="68" t="n">
        <f aca="false">MAX(B62/$I$15,B63/설정!$B$60)*1000</f>
        <v>0</v>
      </c>
      <c r="C64" s="68" t="n">
        <f aca="false">MAX(C62/$I$15,C63/설정!$B$60)*1000</f>
        <v>0</v>
      </c>
      <c r="D64" s="68" t="n">
        <f aca="false">MAX(D62/$I$15,D63/설정!$B$60)*1000</f>
        <v>0</v>
      </c>
      <c r="E64" s="68" t="n">
        <f aca="false">MAX(E62/$I$15,E63/설정!$B$60)*1000</f>
        <v>0</v>
      </c>
      <c r="F64" s="68" t="n">
        <f aca="false">MAX(F62/$I$15,F63/설정!$B$60)*1000</f>
        <v>0</v>
      </c>
      <c r="G64" s="68" t="n">
        <f aca="false">MAX(G62/$I$15,G63/설정!$B$60)*1000</f>
        <v>0</v>
      </c>
      <c r="H64" s="68" t="n">
        <f aca="false">MAX(H62/$I$15,H63/설정!$B$60)*1000</f>
        <v>0</v>
      </c>
      <c r="I64" s="2"/>
    </row>
    <row r="65" customFormat="false" ht="17.15" hidden="false" customHeight="false" outlineLevel="0" collapsed="false">
      <c r="A65" s="30" t="s">
        <v>314</v>
      </c>
      <c r="B65" s="67" t="n">
        <f aca="false">($D$16)*2*(B$28)*$B$16*$C$16</f>
        <v>0</v>
      </c>
      <c r="C65" s="67" t="n">
        <f aca="false">($D$16)*2*(C$28)*$B$16*$C$16</f>
        <v>0</v>
      </c>
      <c r="D65" s="67" t="n">
        <f aca="false">($D$16)*2*(D$28)*$B$16*$C$16</f>
        <v>0</v>
      </c>
      <c r="E65" s="67" t="n">
        <f aca="false">($D$16)*2*(E$28)*$B$16*$C$16</f>
        <v>0</v>
      </c>
      <c r="F65" s="67" t="n">
        <f aca="false">($D$16)*2*(F$28)*$B$16*$C$16</f>
        <v>0</v>
      </c>
      <c r="G65" s="67" t="n">
        <f aca="false">($D$16)*2*(G$28)*$B$16*$C$16</f>
        <v>0</v>
      </c>
      <c r="H65" s="67" t="n">
        <f aca="false">($D$16)*2*(H$28)*$B$16*$C$16</f>
        <v>0</v>
      </c>
      <c r="I65" s="2"/>
    </row>
    <row r="66" customFormat="false" ht="17.15" hidden="false" customHeight="false" outlineLevel="0" collapsed="false">
      <c r="A66" s="30" t="s">
        <v>315</v>
      </c>
      <c r="B66" s="67" t="n">
        <f aca="false">($D$16)*MIN(($B$16*$C$16*$H$16)*MAX(1,ROUNDUP(((B$28)*$B$16*설정!$B$57)/설정!$B$61,0))+((B$28)*$B$16*설정!$B$57)+((B$28)*$C$16*설정!$B$57),($B$16*$C$16*$H$16)+((B$28)*$B$16*설정!$B$57)*MAX(1,ROUNDUP(($B$16*$C$16*$H$16)/설정!$B$61,0))+((B$28)*$C$16*설정!$B$57))</f>
        <v>0</v>
      </c>
      <c r="C66" s="67" t="n">
        <f aca="false">($D$16)*MIN(($B$16*$C$16*$H$16)*MAX(1,ROUNDUP(((C$28)*$B$16*설정!$B$57)/설정!$B$61,0))+((C$28)*$B$16*설정!$B$57)+((C$28)*$C$16*설정!$B$57),($B$16*$C$16*$H$16)+((C$28)*$B$16*설정!$B$57)*MAX(1,ROUNDUP(($B$16*$C$16*$H$16)/설정!$B$61,0))+((C$28)*$C$16*설정!$B$57))</f>
        <v>0</v>
      </c>
      <c r="D66" s="67" t="n">
        <f aca="false">($D$16)*MIN(($B$16*$C$16*$H$16)*MAX(1,ROUNDUP(((D$28)*$B$16*설정!$B$57)/설정!$B$61,0))+((D$28)*$B$16*설정!$B$57)+((D$28)*$C$16*설정!$B$57),($B$16*$C$16*$H$16)+((D$28)*$B$16*설정!$B$57)*MAX(1,ROUNDUP(($B$16*$C$16*$H$16)/설정!$B$61,0))+((D$28)*$C$16*설정!$B$57))</f>
        <v>0</v>
      </c>
      <c r="E66" s="67" t="n">
        <f aca="false">($D$16)*MIN(($B$16*$C$16*$H$16)*MAX(1,ROUNDUP(((E$28)*$B$16*설정!$B$57)/설정!$B$61,0))+((E$28)*$B$16*설정!$B$57)+((E$28)*$C$16*설정!$B$57),($B$16*$C$16*$H$16)+((E$28)*$B$16*설정!$B$57)*MAX(1,ROUNDUP(($B$16*$C$16*$H$16)/설정!$B$61,0))+((E$28)*$C$16*설정!$B$57))</f>
        <v>0</v>
      </c>
      <c r="F66" s="67" t="n">
        <f aca="false">($D$16)*MIN(($B$16*$C$16*$H$16)*MAX(1,ROUNDUP(((F$28)*$B$16*설정!$B$57)/설정!$B$61,0))+((F$28)*$B$16*설정!$B$57)+((F$28)*$C$16*설정!$B$57),($B$16*$C$16*$H$16)+((F$28)*$B$16*설정!$B$57)*MAX(1,ROUNDUP(($B$16*$C$16*$H$16)/설정!$B$61,0))+((F$28)*$C$16*설정!$B$57))</f>
        <v>0</v>
      </c>
      <c r="G66" s="67" t="n">
        <f aca="false">($D$16)*MIN(($B$16*$C$16*$H$16)*MAX(1,ROUNDUP(((G$28)*$B$16*설정!$B$57)/설정!$B$61,0))+((G$28)*$B$16*설정!$B$57)+((G$28)*$C$16*설정!$B$57),($B$16*$C$16*$H$16)+((G$28)*$B$16*설정!$B$57)*MAX(1,ROUNDUP(($B$16*$C$16*$H$16)/설정!$B$61,0))+((G$28)*$C$16*설정!$B$57))</f>
        <v>0</v>
      </c>
      <c r="H66" s="67" t="n">
        <f aca="false">($D$16)*MIN(($B$16*$C$16*$H$16)*MAX(1,ROUNDUP(((H$28)*$B$16*설정!$B$57)/설정!$B$61,0))+((H$28)*$B$16*설정!$B$57)+((H$28)*$C$16*설정!$B$57),($B$16*$C$16*$H$16)+((H$28)*$B$16*설정!$B$57)*MAX(1,ROUNDUP(($B$16*$C$16*$H$16)/설정!$B$61,0))+((H$28)*$C$16*설정!$B$57))</f>
        <v>0</v>
      </c>
      <c r="I66" s="2"/>
    </row>
    <row r="67" customFormat="false" ht="17.15" hidden="false" customHeight="false" outlineLevel="0" collapsed="false">
      <c r="A67" s="30" t="s">
        <v>316</v>
      </c>
      <c r="B67" s="68" t="n">
        <f aca="false">MAX(B65/$I$16,B66/설정!$B$60)*1000</f>
        <v>0</v>
      </c>
      <c r="C67" s="68" t="n">
        <f aca="false">MAX(C65/$I$16,C66/설정!$B$60)*1000</f>
        <v>0</v>
      </c>
      <c r="D67" s="68" t="n">
        <f aca="false">MAX(D65/$I$16,D66/설정!$B$60)*1000</f>
        <v>0</v>
      </c>
      <c r="E67" s="68" t="n">
        <f aca="false">MAX(E65/$I$16,E66/설정!$B$60)*1000</f>
        <v>0</v>
      </c>
      <c r="F67" s="68" t="n">
        <f aca="false">MAX(F65/$I$16,F66/설정!$B$60)*1000</f>
        <v>0</v>
      </c>
      <c r="G67" s="68" t="n">
        <f aca="false">MAX(G65/$I$16,G66/설정!$B$60)*1000</f>
        <v>0</v>
      </c>
      <c r="H67" s="68" t="n">
        <f aca="false">MAX(H65/$I$16,H66/설정!$B$60)*1000</f>
        <v>0</v>
      </c>
      <c r="I67" s="2"/>
    </row>
    <row r="68" customFormat="false" ht="17.15" hidden="false" customHeight="false" outlineLevel="0" collapsed="false">
      <c r="A68" s="30" t="s">
        <v>317</v>
      </c>
      <c r="B68" s="67" t="n">
        <f aca="false">($D$17)*2*(B$28)*$B$17*$C$17</f>
        <v>0</v>
      </c>
      <c r="C68" s="67" t="n">
        <f aca="false">($D$17)*2*(C$28)*$B$17*$C$17</f>
        <v>0</v>
      </c>
      <c r="D68" s="67" t="n">
        <f aca="false">($D$17)*2*(D$28)*$B$17*$C$17</f>
        <v>0</v>
      </c>
      <c r="E68" s="67" t="n">
        <f aca="false">($D$17)*2*(E$28)*$B$17*$C$17</f>
        <v>0</v>
      </c>
      <c r="F68" s="67" t="n">
        <f aca="false">($D$17)*2*(F$28)*$B$17*$C$17</f>
        <v>0</v>
      </c>
      <c r="G68" s="67" t="n">
        <f aca="false">($D$17)*2*(G$28)*$B$17*$C$17</f>
        <v>0</v>
      </c>
      <c r="H68" s="67" t="n">
        <f aca="false">($D$17)*2*(H$28)*$B$17*$C$17</f>
        <v>0</v>
      </c>
      <c r="I68" s="2"/>
    </row>
    <row r="69" customFormat="false" ht="17.15" hidden="false" customHeight="false" outlineLevel="0" collapsed="false">
      <c r="A69" s="30" t="s">
        <v>318</v>
      </c>
      <c r="B69" s="67" t="n">
        <f aca="false">($D$17)*MIN(($B$17*$C$17*$H$17)*MAX(1,ROUNDUP(((B$28)*$B$17*설정!$B$57)/설정!$B$61,0))+((B$28)*$B$17*설정!$B$57)+((B$28)*$C$17*설정!$B$57),($B$17*$C$17*$H$17)+((B$28)*$B$17*설정!$B$57)*MAX(1,ROUNDUP(($B$17*$C$17*$H$17)/설정!$B$61,0))+((B$28)*$C$17*설정!$B$57))</f>
        <v>0</v>
      </c>
      <c r="C69" s="67" t="n">
        <f aca="false">($D$17)*MIN(($B$17*$C$17*$H$17)*MAX(1,ROUNDUP(((C$28)*$B$17*설정!$B$57)/설정!$B$61,0))+((C$28)*$B$17*설정!$B$57)+((C$28)*$C$17*설정!$B$57),($B$17*$C$17*$H$17)+((C$28)*$B$17*설정!$B$57)*MAX(1,ROUNDUP(($B$17*$C$17*$H$17)/설정!$B$61,0))+((C$28)*$C$17*설정!$B$57))</f>
        <v>0</v>
      </c>
      <c r="D69" s="67" t="n">
        <f aca="false">($D$17)*MIN(($B$17*$C$17*$H$17)*MAX(1,ROUNDUP(((D$28)*$B$17*설정!$B$57)/설정!$B$61,0))+((D$28)*$B$17*설정!$B$57)+((D$28)*$C$17*설정!$B$57),($B$17*$C$17*$H$17)+((D$28)*$B$17*설정!$B$57)*MAX(1,ROUNDUP(($B$17*$C$17*$H$17)/설정!$B$61,0))+((D$28)*$C$17*설정!$B$57))</f>
        <v>0</v>
      </c>
      <c r="E69" s="67" t="n">
        <f aca="false">($D$17)*MIN(($B$17*$C$17*$H$17)*MAX(1,ROUNDUP(((E$28)*$B$17*설정!$B$57)/설정!$B$61,0))+((E$28)*$B$17*설정!$B$57)+((E$28)*$C$17*설정!$B$57),($B$17*$C$17*$H$17)+((E$28)*$B$17*설정!$B$57)*MAX(1,ROUNDUP(($B$17*$C$17*$H$17)/설정!$B$61,0))+((E$28)*$C$17*설정!$B$57))</f>
        <v>0</v>
      </c>
      <c r="F69" s="67" t="n">
        <f aca="false">($D$17)*MIN(($B$17*$C$17*$H$17)*MAX(1,ROUNDUP(((F$28)*$B$17*설정!$B$57)/설정!$B$61,0))+((F$28)*$B$17*설정!$B$57)+((F$28)*$C$17*설정!$B$57),($B$17*$C$17*$H$17)+((F$28)*$B$17*설정!$B$57)*MAX(1,ROUNDUP(($B$17*$C$17*$H$17)/설정!$B$61,0))+((F$28)*$C$17*설정!$B$57))</f>
        <v>0</v>
      </c>
      <c r="G69" s="67" t="n">
        <f aca="false">($D$17)*MIN(($B$17*$C$17*$H$17)*MAX(1,ROUNDUP(((G$28)*$B$17*설정!$B$57)/설정!$B$61,0))+((G$28)*$B$17*설정!$B$57)+((G$28)*$C$17*설정!$B$57),($B$17*$C$17*$H$17)+((G$28)*$B$17*설정!$B$57)*MAX(1,ROUNDUP(($B$17*$C$17*$H$17)/설정!$B$61,0))+((G$28)*$C$17*설정!$B$57))</f>
        <v>0</v>
      </c>
      <c r="H69" s="67" t="n">
        <f aca="false">($D$17)*MIN(($B$17*$C$17*$H$17)*MAX(1,ROUNDUP(((H$28)*$B$17*설정!$B$57)/설정!$B$61,0))+((H$28)*$B$17*설정!$B$57)+((H$28)*$C$17*설정!$B$57),($B$17*$C$17*$H$17)+((H$28)*$B$17*설정!$B$57)*MAX(1,ROUNDUP(($B$17*$C$17*$H$17)/설정!$B$61,0))+((H$28)*$C$17*설정!$B$57))</f>
        <v>0</v>
      </c>
      <c r="I69" s="2"/>
    </row>
    <row r="70" customFormat="false" ht="17.15" hidden="false" customHeight="false" outlineLevel="0" collapsed="false">
      <c r="A70" s="30" t="s">
        <v>319</v>
      </c>
      <c r="B70" s="68" t="n">
        <f aca="false">MAX(B68/$I$17,B69/설정!$B$60)*1000</f>
        <v>0</v>
      </c>
      <c r="C70" s="68" t="n">
        <f aca="false">MAX(C68/$I$17,C69/설정!$B$60)*1000</f>
        <v>0</v>
      </c>
      <c r="D70" s="68" t="n">
        <f aca="false">MAX(D68/$I$17,D69/설정!$B$60)*1000</f>
        <v>0</v>
      </c>
      <c r="E70" s="68" t="n">
        <f aca="false">MAX(E68/$I$17,E69/설정!$B$60)*1000</f>
        <v>0</v>
      </c>
      <c r="F70" s="68" t="n">
        <f aca="false">MAX(F68/$I$17,F69/설정!$B$60)*1000</f>
        <v>0</v>
      </c>
      <c r="G70" s="68" t="n">
        <f aca="false">MAX(G68/$I$17,G69/설정!$B$60)*1000</f>
        <v>0</v>
      </c>
      <c r="H70" s="68" t="n">
        <f aca="false">MAX(H68/$I$17,H69/설정!$B$60)*1000</f>
        <v>0</v>
      </c>
      <c r="I70" s="2"/>
    </row>
    <row r="71" customFormat="false" ht="17.15" hidden="false" customHeight="false" outlineLevel="0" collapsed="false">
      <c r="A71" s="30" t="s">
        <v>320</v>
      </c>
      <c r="B71" s="67" t="n">
        <f aca="false">($D$18)*2*(B$28)*$B$18*$C$18</f>
        <v>180388626432</v>
      </c>
      <c r="C71" s="67" t="n">
        <f aca="false">($D$18)*2*(C$28)*$B$18*$C$18</f>
        <v>360777252864</v>
      </c>
      <c r="D71" s="67" t="n">
        <f aca="false">($D$18)*2*(D$28)*$B$18*$C$18</f>
        <v>721554505728</v>
      </c>
      <c r="E71" s="67" t="n">
        <f aca="false">($D$18)*2*(E$28)*$B$18*$C$18</f>
        <v>1443109011456</v>
      </c>
      <c r="F71" s="67" t="n">
        <f aca="false">($D$18)*2*(F$28)*$B$18*$C$18</f>
        <v>2886218022912</v>
      </c>
      <c r="G71" s="67" t="n">
        <f aca="false">($D$18)*2*(G$28)*$B$18*$C$18</f>
        <v>5772436045824</v>
      </c>
      <c r="H71" s="67" t="n">
        <f aca="false">($D$18)*2*(H$28)*$B$18*$C$18</f>
        <v>11544872091648</v>
      </c>
      <c r="I71" s="2"/>
    </row>
    <row r="72" customFormat="false" ht="17.15" hidden="false" customHeight="false" outlineLevel="0" collapsed="false">
      <c r="A72" s="30" t="s">
        <v>321</v>
      </c>
      <c r="B72" s="67" t="n">
        <f aca="false">($D$18)*MIN(($B$18*$C$18*$H$18)*MAX(1,ROUNDUP(((B$28)*$B$18*설정!$B$57)/설정!$B$61,0))+((B$28)*$B$18*설정!$B$57)+((B$28)*$C$18*설정!$B$57),($B$18*$C$18*$H$18)+((B$28)*$B$18*설정!$B$57)*MAX(1,ROUNDUP(($B$18*$C$18*$H$18)/설정!$B$61,0))+((B$28)*$C$18*설정!$B$57))</f>
        <v>403701760</v>
      </c>
      <c r="C72" s="67" t="n">
        <f aca="false">($D$18)*MIN(($B$18*$C$18*$H$18)*MAX(1,ROUNDUP(((C$28)*$B$18*설정!$B$57)/설정!$B$61,0))+((C$28)*$B$18*설정!$B$57)+((C$28)*$C$18*설정!$B$57),($B$18*$C$18*$H$18)+((C$28)*$B$18*설정!$B$57)*MAX(1,ROUNDUP(($B$18*$C$18*$H$18)/설정!$B$61,0))+((C$28)*$C$18*설정!$B$57))</f>
        <v>444071936</v>
      </c>
      <c r="D72" s="67" t="n">
        <f aca="false">($D$18)*MIN(($B$18*$C$18*$H$18)*MAX(1,ROUNDUP(((D$28)*$B$18*설정!$B$57)/설정!$B$61,0))+((D$28)*$B$18*설정!$B$57)+((D$28)*$C$18*설정!$B$57),($B$18*$C$18*$H$18)+((D$28)*$B$18*설정!$B$57)*MAX(1,ROUNDUP(($B$18*$C$18*$H$18)/설정!$B$61,0))+((D$28)*$C$18*설정!$B$57))</f>
        <v>524812288</v>
      </c>
      <c r="E72" s="67" t="n">
        <f aca="false">($D$18)*MIN(($B$18*$C$18*$H$18)*MAX(1,ROUNDUP(((E$28)*$B$18*설정!$B$57)/설정!$B$61,0))+((E$28)*$B$18*설정!$B$57)+((E$28)*$C$18*설정!$B$57),($B$18*$C$18*$H$18)+((E$28)*$B$18*설정!$B$57)*MAX(1,ROUNDUP(($B$18*$C$18*$H$18)/설정!$B$61,0))+((E$28)*$C$18*설정!$B$57))</f>
        <v>1049624576</v>
      </c>
      <c r="F72" s="67" t="n">
        <f aca="false">($D$18)*MIN(($B$18*$C$18*$H$18)*MAX(1,ROUNDUP(((F$28)*$B$18*설정!$B$57)/설정!$B$61,0))+((F$28)*$B$18*설정!$B$57)+((F$28)*$C$18*설정!$B$57),($B$18*$C$18*$H$18)+((F$28)*$B$18*설정!$B$57)*MAX(1,ROUNDUP(($B$18*$C$18*$H$18)/설정!$B$61,0))+((F$28)*$C$18*설정!$B$57))</f>
        <v>2099249152</v>
      </c>
      <c r="G72" s="67" t="n">
        <f aca="false">($D$18)*MIN(($B$18*$C$18*$H$18)*MAX(1,ROUNDUP(((G$28)*$B$18*설정!$B$57)/설정!$B$61,0))+((G$28)*$B$18*설정!$B$57)+((G$28)*$C$18*설정!$B$57),($B$18*$C$18*$H$18)+((G$28)*$B$18*설정!$B$57)*MAX(1,ROUNDUP(($B$18*$C$18*$H$18)/설정!$B$61,0))+((G$28)*$C$18*설정!$B$57))</f>
        <v>4121427968</v>
      </c>
      <c r="H72" s="67" t="n">
        <f aca="false">($D$18)*MIN(($B$18*$C$18*$H$18)*MAX(1,ROUNDUP(((H$28)*$B$18*설정!$B$57)/설정!$B$61,0))+((H$28)*$B$18*설정!$B$57)+((H$28)*$C$18*설정!$B$57),($B$18*$C$18*$H$18)+((H$28)*$B$18*설정!$B$57)*MAX(1,ROUNDUP(($B$18*$C$18*$H$18)/설정!$B$61,0))+((H$28)*$C$18*설정!$B$57))</f>
        <v>7879524352</v>
      </c>
      <c r="I72" s="2"/>
    </row>
    <row r="73" customFormat="false" ht="17.15" hidden="false" customHeight="false" outlineLevel="0" collapsed="false">
      <c r="A73" s="30" t="s">
        <v>322</v>
      </c>
      <c r="B73" s="68" t="n">
        <f aca="false">MAX(B71/$I$18,B72/설정!$B$60)*1000</f>
        <v>7.91572078431373</v>
      </c>
      <c r="C73" s="68" t="n">
        <f aca="false">MAX(C71/$I$18,C72/설정!$B$60)*1000</f>
        <v>15.032385536</v>
      </c>
      <c r="D73" s="68" t="n">
        <f aca="false">MAX(D71/$I$18,D72/설정!$B$60)*1000</f>
        <v>30.064771072</v>
      </c>
      <c r="E73" s="68" t="n">
        <f aca="false">MAX(E71/$I$18,E72/설정!$B$60)*1000</f>
        <v>60.129542144</v>
      </c>
      <c r="F73" s="68" t="n">
        <f aca="false">MAX(F71/$I$18,F72/설정!$B$60)*1000</f>
        <v>120.259084288</v>
      </c>
      <c r="G73" s="68" t="n">
        <f aca="false">MAX(G71/$I$18,G72/설정!$B$60)*1000</f>
        <v>240.518168576</v>
      </c>
      <c r="H73" s="68" t="n">
        <f aca="false">MAX(H71/$I$18,H72/설정!$B$60)*1000</f>
        <v>481.036337152</v>
      </c>
      <c r="I73" s="2"/>
    </row>
    <row r="74" customFormat="false" ht="17.15" hidden="false" customHeight="false" outlineLevel="0" collapsed="false">
      <c r="A74" s="30" t="s">
        <v>323</v>
      </c>
      <c r="B74" s="67" t="n">
        <f aca="false">($D$19)*2*(B$28)*$B$19*$C$19</f>
        <v>180388626432</v>
      </c>
      <c r="C74" s="67" t="n">
        <f aca="false">($D$19)*2*(C$28)*$B$19*$C$19</f>
        <v>360777252864</v>
      </c>
      <c r="D74" s="67" t="n">
        <f aca="false">($D$19)*2*(D$28)*$B$19*$C$19</f>
        <v>721554505728</v>
      </c>
      <c r="E74" s="67" t="n">
        <f aca="false">($D$19)*2*(E$28)*$B$19*$C$19</f>
        <v>1443109011456</v>
      </c>
      <c r="F74" s="67" t="n">
        <f aca="false">($D$19)*2*(F$28)*$B$19*$C$19</f>
        <v>2886218022912</v>
      </c>
      <c r="G74" s="67" t="n">
        <f aca="false">($D$19)*2*(G$28)*$B$19*$C$19</f>
        <v>5772436045824</v>
      </c>
      <c r="H74" s="67" t="n">
        <f aca="false">($D$19)*2*(H$28)*$B$19*$C$19</f>
        <v>11544872091648</v>
      </c>
      <c r="I74" s="2"/>
    </row>
    <row r="75" customFormat="false" ht="17.15" hidden="false" customHeight="false" outlineLevel="0" collapsed="false">
      <c r="A75" s="30" t="s">
        <v>324</v>
      </c>
      <c r="B75" s="67" t="n">
        <f aca="false">($D$19)*MIN(($B$19*$C$19*$H$19)*MAX(1,ROUNDUP(((B$28)*$B$19*설정!$B$57)/설정!$B$61,0))+((B$28)*$B$19*설정!$B$57)+((B$28)*$C$19*설정!$B$57),($B$19*$C$19*$H$19)+((B$28)*$B$19*설정!$B$57)*MAX(1,ROUNDUP(($B$19*$C$19*$H$19)/설정!$B$61,0))+((B$28)*$C$19*설정!$B$57))</f>
        <v>403701760</v>
      </c>
      <c r="C75" s="67" t="n">
        <f aca="false">($D$19)*MIN(($B$19*$C$19*$H$19)*MAX(1,ROUNDUP(((C$28)*$B$19*설정!$B$57)/설정!$B$61,0))+((C$28)*$B$19*설정!$B$57)+((C$28)*$C$19*설정!$B$57),($B$19*$C$19*$H$19)+((C$28)*$B$19*설정!$B$57)*MAX(1,ROUNDUP(($B$19*$C$19*$H$19)/설정!$B$61,0))+((C$28)*$C$19*설정!$B$57))</f>
        <v>444071936</v>
      </c>
      <c r="D75" s="67" t="n">
        <f aca="false">($D$19)*MIN(($B$19*$C$19*$H$19)*MAX(1,ROUNDUP(((D$28)*$B$19*설정!$B$57)/설정!$B$61,0))+((D$28)*$B$19*설정!$B$57)+((D$28)*$C$19*설정!$B$57),($B$19*$C$19*$H$19)+((D$28)*$B$19*설정!$B$57)*MAX(1,ROUNDUP(($B$19*$C$19*$H$19)/설정!$B$61,0))+((D$28)*$C$19*설정!$B$57))</f>
        <v>524812288</v>
      </c>
      <c r="E75" s="67" t="n">
        <f aca="false">($D$19)*MIN(($B$19*$C$19*$H$19)*MAX(1,ROUNDUP(((E$28)*$B$19*설정!$B$57)/설정!$B$61,0))+((E$28)*$B$19*설정!$B$57)+((E$28)*$C$19*설정!$B$57),($B$19*$C$19*$H$19)+((E$28)*$B$19*설정!$B$57)*MAX(1,ROUNDUP(($B$19*$C$19*$H$19)/설정!$B$61,0))+((E$28)*$C$19*설정!$B$57))</f>
        <v>1049624576</v>
      </c>
      <c r="F75" s="67" t="n">
        <f aca="false">($D$19)*MIN(($B$19*$C$19*$H$19)*MAX(1,ROUNDUP(((F$28)*$B$19*설정!$B$57)/설정!$B$61,0))+((F$28)*$B$19*설정!$B$57)+((F$28)*$C$19*설정!$B$57),($B$19*$C$19*$H$19)+((F$28)*$B$19*설정!$B$57)*MAX(1,ROUNDUP(($B$19*$C$19*$H$19)/설정!$B$61,0))+((F$28)*$C$19*설정!$B$57))</f>
        <v>2099249152</v>
      </c>
      <c r="G75" s="67" t="n">
        <f aca="false">($D$19)*MIN(($B$19*$C$19*$H$19)*MAX(1,ROUNDUP(((G$28)*$B$19*설정!$B$57)/설정!$B$61,0))+((G$28)*$B$19*설정!$B$57)+((G$28)*$C$19*설정!$B$57),($B$19*$C$19*$H$19)+((G$28)*$B$19*설정!$B$57)*MAX(1,ROUNDUP(($B$19*$C$19*$H$19)/설정!$B$61,0))+((G$28)*$C$19*설정!$B$57))</f>
        <v>4121427968</v>
      </c>
      <c r="H75" s="67" t="n">
        <f aca="false">($D$19)*MIN(($B$19*$C$19*$H$19)*MAX(1,ROUNDUP(((H$28)*$B$19*설정!$B$57)/설정!$B$61,0))+((H$28)*$B$19*설정!$B$57)+((H$28)*$C$19*설정!$B$57),($B$19*$C$19*$H$19)+((H$28)*$B$19*설정!$B$57)*MAX(1,ROUNDUP(($B$19*$C$19*$H$19)/설정!$B$61,0))+((H$28)*$C$19*설정!$B$57))</f>
        <v>7879524352</v>
      </c>
      <c r="I75" s="2"/>
    </row>
    <row r="76" customFormat="false" ht="17.15" hidden="false" customHeight="false" outlineLevel="0" collapsed="false">
      <c r="A76" s="30" t="s">
        <v>325</v>
      </c>
      <c r="B76" s="68" t="n">
        <f aca="false">MAX(B74/$I$19,B75/설정!$B$60)*1000</f>
        <v>7.91572078431373</v>
      </c>
      <c r="C76" s="68" t="n">
        <f aca="false">MAX(C74/$I$19,C75/설정!$B$60)*1000</f>
        <v>15.032385536</v>
      </c>
      <c r="D76" s="68" t="n">
        <f aca="false">MAX(D74/$I$19,D75/설정!$B$60)*1000</f>
        <v>30.064771072</v>
      </c>
      <c r="E76" s="68" t="n">
        <f aca="false">MAX(E74/$I$19,E75/설정!$B$60)*1000</f>
        <v>60.129542144</v>
      </c>
      <c r="F76" s="68" t="n">
        <f aca="false">MAX(F74/$I$19,F75/설정!$B$60)*1000</f>
        <v>120.259084288</v>
      </c>
      <c r="G76" s="68" t="n">
        <f aca="false">MAX(G74/$I$19,G75/설정!$B$60)*1000</f>
        <v>240.518168576</v>
      </c>
      <c r="H76" s="68" t="n">
        <f aca="false">MAX(H74/$I$19,H75/설정!$B$60)*1000</f>
        <v>481.036337152</v>
      </c>
      <c r="I76" s="2"/>
    </row>
    <row r="77" customFormat="false" ht="17.15" hidden="false" customHeight="false" outlineLevel="0" collapsed="false">
      <c r="A77" s="30" t="s">
        <v>326</v>
      </c>
      <c r="B77" s="67" t="n">
        <f aca="false">($D$20)*2*(B$28)*$B$20*$C$20</f>
        <v>180388626432</v>
      </c>
      <c r="C77" s="67" t="n">
        <f aca="false">($D$20)*2*(C$28)*$B$20*$C$20</f>
        <v>360777252864</v>
      </c>
      <c r="D77" s="67" t="n">
        <f aca="false">($D$20)*2*(D$28)*$B$20*$C$20</f>
        <v>721554505728</v>
      </c>
      <c r="E77" s="67" t="n">
        <f aca="false">($D$20)*2*(E$28)*$B$20*$C$20</f>
        <v>1443109011456</v>
      </c>
      <c r="F77" s="67" t="n">
        <f aca="false">($D$20)*2*(F$28)*$B$20*$C$20</f>
        <v>2886218022912</v>
      </c>
      <c r="G77" s="67" t="n">
        <f aca="false">($D$20)*2*(G$28)*$B$20*$C$20</f>
        <v>5772436045824</v>
      </c>
      <c r="H77" s="67" t="n">
        <f aca="false">($D$20)*2*(H$28)*$B$20*$C$20</f>
        <v>11544872091648</v>
      </c>
      <c r="I77" s="2"/>
    </row>
    <row r="78" customFormat="false" ht="17.15" hidden="false" customHeight="false" outlineLevel="0" collapsed="false">
      <c r="A78" s="30" t="s">
        <v>327</v>
      </c>
      <c r="B78" s="67" t="n">
        <f aca="false">($D$20)*MIN(($B$20*$C$20*$H$20)*MAX(1,ROUNDUP(((B$28)*$B$20*설정!$B$57)/설정!$B$61,0))+((B$28)*$B$20*설정!$B$57)+((B$28)*$C$20*설정!$B$57),($B$20*$C$20*$H$20)+((B$28)*$B$20*설정!$B$57)*MAX(1,ROUNDUP(($B$20*$C$20*$H$20)/설정!$B$61,0))+((B$28)*$C$20*설정!$B$57))</f>
        <v>403701760</v>
      </c>
      <c r="C78" s="67" t="n">
        <f aca="false">($D$20)*MIN(($B$20*$C$20*$H$20)*MAX(1,ROUNDUP(((C$28)*$B$20*설정!$B$57)/설정!$B$61,0))+((C$28)*$B$20*설정!$B$57)+((C$28)*$C$20*설정!$B$57),($B$20*$C$20*$H$20)+((C$28)*$B$20*설정!$B$57)*MAX(1,ROUNDUP(($B$20*$C$20*$H$20)/설정!$B$61,0))+((C$28)*$C$20*설정!$B$57))</f>
        <v>807403520</v>
      </c>
      <c r="D78" s="67" t="n">
        <f aca="false">($D$20)*MIN(($B$20*$C$20*$H$20)*MAX(1,ROUNDUP(((D$28)*$B$20*설정!$B$57)/설정!$B$61,0))+((D$28)*$B$20*설정!$B$57)+((D$28)*$C$20*설정!$B$57),($B$20*$C$20*$H$20)+((D$28)*$B$20*설정!$B$57)*MAX(1,ROUNDUP(($B$20*$C$20*$H$20)/설정!$B$61,0))+((D$28)*$C$20*설정!$B$57))</f>
        <v>1251475456</v>
      </c>
      <c r="E78" s="67" t="n">
        <f aca="false">($D$20)*MIN(($B$20*$C$20*$H$20)*MAX(1,ROUNDUP(((E$28)*$B$20*설정!$B$57)/설정!$B$61,0))+((E$28)*$B$20*설정!$B$57)+((E$28)*$C$20*설정!$B$57),($B$20*$C$20*$H$20)+((E$28)*$B$20*설정!$B$57)*MAX(1,ROUNDUP(($B$20*$C$20*$H$20)/설정!$B$61,0))+((E$28)*$C$20*설정!$B$57))</f>
        <v>2139619328</v>
      </c>
      <c r="F78" s="67" t="n">
        <f aca="false">($D$20)*MIN(($B$20*$C$20*$H$20)*MAX(1,ROUNDUP(((F$28)*$B$20*설정!$B$57)/설정!$B$61,0))+((F$28)*$B$20*설정!$B$57)+((F$28)*$C$20*설정!$B$57),($B$20*$C$20*$H$20)+((F$28)*$B$20*설정!$B$57)*MAX(1,ROUNDUP(($B$20*$C$20*$H$20)/설정!$B$61,0))+((F$28)*$C$20*설정!$B$57))</f>
        <v>4279238656</v>
      </c>
      <c r="G78" s="67" t="n">
        <f aca="false">($D$20)*MIN(($B$20*$C$20*$H$20)*MAX(1,ROUNDUP(((G$28)*$B$20*설정!$B$57)/설정!$B$61,0))+((G$28)*$B$20*설정!$B$57)+((G$28)*$C$20*설정!$B$57),($B$20*$C$20*$H$20)+((G$28)*$B$20*설정!$B$57)*MAX(1,ROUNDUP(($B$20*$C$20*$H$20)/설정!$B$61,0))+((G$28)*$C$20*설정!$B$57))</f>
        <v>8231845888</v>
      </c>
      <c r="H78" s="67" t="n">
        <f aca="false">($D$20)*MIN(($B$20*$C$20*$H$20)*MAX(1,ROUNDUP(((H$28)*$B$20*설정!$B$57)/설정!$B$61,0))+((H$28)*$B$20*설정!$B$57)+((H$28)*$C$20*설정!$B$57),($B$20*$C$20*$H$20)+((H$28)*$B$20*설정!$B$57)*MAX(1,ROUNDUP(($B$20*$C$20*$H$20)/설정!$B$61,0))+((H$28)*$C$20*설정!$B$57))</f>
        <v>16100360192</v>
      </c>
      <c r="I78" s="2"/>
    </row>
    <row r="79" customFormat="false" ht="17.15" hidden="false" customHeight="false" outlineLevel="0" collapsed="false">
      <c r="A79" s="30" t="s">
        <v>328</v>
      </c>
      <c r="B79" s="68" t="n">
        <f aca="false">MAX(B77/$I$20,B78/설정!$B$60)*1000</f>
        <v>7.91572078431373</v>
      </c>
      <c r="C79" s="68" t="n">
        <f aca="false">MAX(C77/$I$20,C78/설정!$B$60)*1000</f>
        <v>15.8314415686275</v>
      </c>
      <c r="D79" s="68" t="n">
        <f aca="false">MAX(D77/$I$20,D78/설정!$B$60)*1000</f>
        <v>30.064771072</v>
      </c>
      <c r="E79" s="68" t="n">
        <f aca="false">MAX(E77/$I$20,E78/설정!$B$60)*1000</f>
        <v>60.129542144</v>
      </c>
      <c r="F79" s="68" t="n">
        <f aca="false">MAX(F77/$I$20,F78/설정!$B$60)*1000</f>
        <v>120.259084288</v>
      </c>
      <c r="G79" s="68" t="n">
        <f aca="false">MAX(G77/$I$20,G78/설정!$B$60)*1000</f>
        <v>240.518168576</v>
      </c>
      <c r="H79" s="68" t="n">
        <f aca="false">MAX(H77/$I$20,H78/설정!$B$60)*1000</f>
        <v>481.036337152</v>
      </c>
      <c r="I79" s="2"/>
    </row>
    <row r="80" customFormat="false" ht="17.15" hidden="false" customHeight="false" outlineLevel="0" collapsed="false">
      <c r="A80" s="30" t="s">
        <v>329</v>
      </c>
      <c r="B80" s="67" t="n">
        <f aca="false">($D$21*B$29)*2*(B$31)*$B$21*$C$21</f>
        <v>0</v>
      </c>
      <c r="C80" s="67" t="n">
        <f aca="false">($D$21*C$29)*2*(C$31)*$B$21*$C$21</f>
        <v>0</v>
      </c>
      <c r="D80" s="67" t="n">
        <f aca="false">($D$21*D$29)*2*(D$31)*$B$21*$C$21</f>
        <v>0</v>
      </c>
      <c r="E80" s="67" t="n">
        <f aca="false">($D$21*E$29)*2*(E$31)*$B$21*$C$21</f>
        <v>0</v>
      </c>
      <c r="F80" s="67" t="n">
        <f aca="false">($D$21*F$29)*2*(F$31)*$B$21*$C$21</f>
        <v>0</v>
      </c>
      <c r="G80" s="67" t="n">
        <f aca="false">($D$21*G$29)*2*(G$31)*$B$21*$C$21</f>
        <v>0</v>
      </c>
      <c r="H80" s="67" t="n">
        <f aca="false">($D$21*H$29)*2*(H$31)*$B$21*$C$21</f>
        <v>0</v>
      </c>
      <c r="I80" s="2"/>
    </row>
    <row r="81" customFormat="false" ht="17.15" hidden="false" customHeight="false" outlineLevel="0" collapsed="false">
      <c r="A81" s="30" t="s">
        <v>330</v>
      </c>
      <c r="B81" s="67" t="n">
        <f aca="false">($D$21*B$29)*MIN(($B$21*$C$21*$H$21)*MAX(1,ROUNDUP(((B$31)*$B$21*설정!$B$57)/설정!$B$61,0))+((B$31)*$B$21*설정!$B$57)+((B$31)*$C$21*설정!$B$57),($B$21*$C$21*$H$21)+((B$31)*$B$21*설정!$B$57)*MAX(1,ROUNDUP(($B$21*$C$21*$H$21)/설정!$B$61,0))+((B$31)*$C$21*설정!$B$57))</f>
        <v>0</v>
      </c>
      <c r="C81" s="67" t="n">
        <f aca="false">($D$21*C$29)*MIN(($B$21*$C$21*$H$21)*MAX(1,ROUNDUP(((C$31)*$B$21*설정!$B$57)/설정!$B$61,0))+((C$31)*$B$21*설정!$B$57)+((C$31)*$C$21*설정!$B$57),($B$21*$C$21*$H$21)+((C$31)*$B$21*설정!$B$57)*MAX(1,ROUNDUP(($B$21*$C$21*$H$21)/설정!$B$61,0))+((C$31)*$C$21*설정!$B$57))</f>
        <v>0</v>
      </c>
      <c r="D81" s="67" t="n">
        <f aca="false">($D$21*D$29)*MIN(($B$21*$C$21*$H$21)*MAX(1,ROUNDUP(((D$31)*$B$21*설정!$B$57)/설정!$B$61,0))+((D$31)*$B$21*설정!$B$57)+((D$31)*$C$21*설정!$B$57),($B$21*$C$21*$H$21)+((D$31)*$B$21*설정!$B$57)*MAX(1,ROUNDUP(($B$21*$C$21*$H$21)/설정!$B$61,0))+((D$31)*$C$21*설정!$B$57))</f>
        <v>0</v>
      </c>
      <c r="E81" s="67" t="n">
        <f aca="false">($D$21*E$29)*MIN(($B$21*$C$21*$H$21)*MAX(1,ROUNDUP(((E$31)*$B$21*설정!$B$57)/설정!$B$61,0))+((E$31)*$B$21*설정!$B$57)+((E$31)*$C$21*설정!$B$57),($B$21*$C$21*$H$21)+((E$31)*$B$21*설정!$B$57)*MAX(1,ROUNDUP(($B$21*$C$21*$H$21)/설정!$B$61,0))+((E$31)*$C$21*설정!$B$57))</f>
        <v>0</v>
      </c>
      <c r="F81" s="67" t="n">
        <f aca="false">($D$21*F$29)*MIN(($B$21*$C$21*$H$21)*MAX(1,ROUNDUP(((F$31)*$B$21*설정!$B$57)/설정!$B$61,0))+((F$31)*$B$21*설정!$B$57)+((F$31)*$C$21*설정!$B$57),($B$21*$C$21*$H$21)+((F$31)*$B$21*설정!$B$57)*MAX(1,ROUNDUP(($B$21*$C$21*$H$21)/설정!$B$61,0))+((F$31)*$C$21*설정!$B$57))</f>
        <v>0</v>
      </c>
      <c r="G81" s="67" t="n">
        <f aca="false">($D$21*G$29)*MIN(($B$21*$C$21*$H$21)*MAX(1,ROUNDUP(((G$31)*$B$21*설정!$B$57)/설정!$B$61,0))+((G$31)*$B$21*설정!$B$57)+((G$31)*$C$21*설정!$B$57),($B$21*$C$21*$H$21)+((G$31)*$B$21*설정!$B$57)*MAX(1,ROUNDUP(($B$21*$C$21*$H$21)/설정!$B$61,0))+((G$31)*$C$21*설정!$B$57))</f>
        <v>0</v>
      </c>
      <c r="H81" s="67" t="n">
        <f aca="false">($D$21*H$29)*MIN(($B$21*$C$21*$H$21)*MAX(1,ROUNDUP(((H$31)*$B$21*설정!$B$57)/설정!$B$61,0))+((H$31)*$B$21*설정!$B$57)+((H$31)*$C$21*설정!$B$57),($B$21*$C$21*$H$21)+((H$31)*$B$21*설정!$B$57)*MAX(1,ROUNDUP(($B$21*$C$21*$H$21)/설정!$B$61,0))+((H$31)*$C$21*설정!$B$57))</f>
        <v>0</v>
      </c>
      <c r="I81" s="2"/>
    </row>
    <row r="82" customFormat="false" ht="17.15" hidden="false" customHeight="false" outlineLevel="0" collapsed="false">
      <c r="A82" s="30" t="s">
        <v>331</v>
      </c>
      <c r="B82" s="68" t="n">
        <f aca="false">MAX(B80/$I$21,B81/설정!$B$60)*1000</f>
        <v>0</v>
      </c>
      <c r="C82" s="68" t="n">
        <f aca="false">MAX(C80/$I$21,C81/설정!$B$60)*1000</f>
        <v>0</v>
      </c>
      <c r="D82" s="68" t="n">
        <f aca="false">MAX(D80/$I$21,D81/설정!$B$60)*1000</f>
        <v>0</v>
      </c>
      <c r="E82" s="68" t="n">
        <f aca="false">MAX(E80/$I$21,E81/설정!$B$60)*1000</f>
        <v>0</v>
      </c>
      <c r="F82" s="68" t="n">
        <f aca="false">MAX(F80/$I$21,F81/설정!$B$60)*1000</f>
        <v>0</v>
      </c>
      <c r="G82" s="68" t="n">
        <f aca="false">MAX(G80/$I$21,G81/설정!$B$60)*1000</f>
        <v>0</v>
      </c>
      <c r="H82" s="68" t="n">
        <f aca="false">MAX(H80/$I$21,H81/설정!$B$60)*1000</f>
        <v>0</v>
      </c>
      <c r="I82" s="2"/>
    </row>
    <row r="83" customFormat="false" ht="17.15" hidden="false" customHeight="false" outlineLevel="0" collapsed="false">
      <c r="A83" s="30" t="s">
        <v>332</v>
      </c>
      <c r="B83" s="67" t="n">
        <f aca="false">($D$22*B$29)*2*(B$31)*$B$22*$C$22</f>
        <v>0</v>
      </c>
      <c r="C83" s="67" t="n">
        <f aca="false">($D$22*C$29)*2*(C$31)*$B$22*$C$22</f>
        <v>0</v>
      </c>
      <c r="D83" s="67" t="n">
        <f aca="false">($D$22*D$29)*2*(D$31)*$B$22*$C$22</f>
        <v>0</v>
      </c>
      <c r="E83" s="67" t="n">
        <f aca="false">($D$22*E$29)*2*(E$31)*$B$22*$C$22</f>
        <v>0</v>
      </c>
      <c r="F83" s="67" t="n">
        <f aca="false">($D$22*F$29)*2*(F$31)*$B$22*$C$22</f>
        <v>0</v>
      </c>
      <c r="G83" s="67" t="n">
        <f aca="false">($D$22*G$29)*2*(G$31)*$B$22*$C$22</f>
        <v>0</v>
      </c>
      <c r="H83" s="67" t="n">
        <f aca="false">($D$22*H$29)*2*(H$31)*$B$22*$C$22</f>
        <v>0</v>
      </c>
      <c r="I83" s="2"/>
    </row>
    <row r="84" customFormat="false" ht="17.15" hidden="false" customHeight="false" outlineLevel="0" collapsed="false">
      <c r="A84" s="30" t="s">
        <v>333</v>
      </c>
      <c r="B84" s="67" t="n">
        <f aca="false">($D$22*B$29)*MIN(($B$22*$C$22*$H$22)*MAX(1,ROUNDUP(((B$31)*$B$22*설정!$B$57)/설정!$B$61,0))+((B$31)*$B$22*설정!$B$57)+((B$31)*$C$22*설정!$B$57),($B$22*$C$22*$H$22)+((B$31)*$B$22*설정!$B$57)*MAX(1,ROUNDUP(($B$22*$C$22*$H$22)/설정!$B$61,0))+((B$31)*$C$22*설정!$B$57))</f>
        <v>0</v>
      </c>
      <c r="C84" s="67" t="n">
        <f aca="false">($D$22*C$29)*MIN(($B$22*$C$22*$H$22)*MAX(1,ROUNDUP(((C$31)*$B$22*설정!$B$57)/설정!$B$61,0))+((C$31)*$B$22*설정!$B$57)+((C$31)*$C$22*설정!$B$57),($B$22*$C$22*$H$22)+((C$31)*$B$22*설정!$B$57)*MAX(1,ROUNDUP(($B$22*$C$22*$H$22)/설정!$B$61,0))+((C$31)*$C$22*설정!$B$57))</f>
        <v>0</v>
      </c>
      <c r="D84" s="67" t="n">
        <f aca="false">($D$22*D$29)*MIN(($B$22*$C$22*$H$22)*MAX(1,ROUNDUP(((D$31)*$B$22*설정!$B$57)/설정!$B$61,0))+((D$31)*$B$22*설정!$B$57)+((D$31)*$C$22*설정!$B$57),($B$22*$C$22*$H$22)+((D$31)*$B$22*설정!$B$57)*MAX(1,ROUNDUP(($B$22*$C$22*$H$22)/설정!$B$61,0))+((D$31)*$C$22*설정!$B$57))</f>
        <v>0</v>
      </c>
      <c r="E84" s="67" t="n">
        <f aca="false">($D$22*E$29)*MIN(($B$22*$C$22*$H$22)*MAX(1,ROUNDUP(((E$31)*$B$22*설정!$B$57)/설정!$B$61,0))+((E$31)*$B$22*설정!$B$57)+((E$31)*$C$22*설정!$B$57),($B$22*$C$22*$H$22)+((E$31)*$B$22*설정!$B$57)*MAX(1,ROUNDUP(($B$22*$C$22*$H$22)/설정!$B$61,0))+((E$31)*$C$22*설정!$B$57))</f>
        <v>0</v>
      </c>
      <c r="F84" s="67" t="n">
        <f aca="false">($D$22*F$29)*MIN(($B$22*$C$22*$H$22)*MAX(1,ROUNDUP(((F$31)*$B$22*설정!$B$57)/설정!$B$61,0))+((F$31)*$B$22*설정!$B$57)+((F$31)*$C$22*설정!$B$57),($B$22*$C$22*$H$22)+((F$31)*$B$22*설정!$B$57)*MAX(1,ROUNDUP(($B$22*$C$22*$H$22)/설정!$B$61,0))+((F$31)*$C$22*설정!$B$57))</f>
        <v>0</v>
      </c>
      <c r="G84" s="67" t="n">
        <f aca="false">($D$22*G$29)*MIN(($B$22*$C$22*$H$22)*MAX(1,ROUNDUP(((G$31)*$B$22*설정!$B$57)/설정!$B$61,0))+((G$31)*$B$22*설정!$B$57)+((G$31)*$C$22*설정!$B$57),($B$22*$C$22*$H$22)+((G$31)*$B$22*설정!$B$57)*MAX(1,ROUNDUP(($B$22*$C$22*$H$22)/설정!$B$61,0))+((G$31)*$C$22*설정!$B$57))</f>
        <v>0</v>
      </c>
      <c r="H84" s="67" t="n">
        <f aca="false">($D$22*H$29)*MIN(($B$22*$C$22*$H$22)*MAX(1,ROUNDUP(((H$31)*$B$22*설정!$B$57)/설정!$B$61,0))+((H$31)*$B$22*설정!$B$57)+((H$31)*$C$22*설정!$B$57),($B$22*$C$22*$H$22)+((H$31)*$B$22*설정!$B$57)*MAX(1,ROUNDUP(($B$22*$C$22*$H$22)/설정!$B$61,0))+((H$31)*$C$22*설정!$B$57))</f>
        <v>0</v>
      </c>
      <c r="I84" s="2"/>
    </row>
    <row r="85" customFormat="false" ht="17.15" hidden="false" customHeight="false" outlineLevel="0" collapsed="false">
      <c r="A85" s="30" t="s">
        <v>334</v>
      </c>
      <c r="B85" s="68" t="n">
        <f aca="false">MAX(B83/$I$22,B84/설정!$B$60)*1000</f>
        <v>0</v>
      </c>
      <c r="C85" s="68" t="n">
        <f aca="false">MAX(C83/$I$22,C84/설정!$B$60)*1000</f>
        <v>0</v>
      </c>
      <c r="D85" s="68" t="n">
        <f aca="false">MAX(D83/$I$22,D84/설정!$B$60)*1000</f>
        <v>0</v>
      </c>
      <c r="E85" s="68" t="n">
        <f aca="false">MAX(E83/$I$22,E84/설정!$B$60)*1000</f>
        <v>0</v>
      </c>
      <c r="F85" s="68" t="n">
        <f aca="false">MAX(F83/$I$22,F84/설정!$B$60)*1000</f>
        <v>0</v>
      </c>
      <c r="G85" s="68" t="n">
        <f aca="false">MAX(G83/$I$22,G84/설정!$B$60)*1000</f>
        <v>0</v>
      </c>
      <c r="H85" s="68" t="n">
        <f aca="false">MAX(H83/$I$22,H84/설정!$B$60)*1000</f>
        <v>0</v>
      </c>
      <c r="I85" s="2"/>
    </row>
    <row r="86" customFormat="false" ht="17.15" hidden="false" customHeight="false" outlineLevel="0" collapsed="false">
      <c r="A86" s="30" t="s">
        <v>335</v>
      </c>
      <c r="B86" s="67" t="n">
        <f aca="false">($D$23*B$29)*2*(B$31)*$B$23*$C$23</f>
        <v>0</v>
      </c>
      <c r="C86" s="67" t="n">
        <f aca="false">($D$23*C$29)*2*(C$31)*$B$23*$C$23</f>
        <v>0</v>
      </c>
      <c r="D86" s="67" t="n">
        <f aca="false">($D$23*D$29)*2*(D$31)*$B$23*$C$23</f>
        <v>0</v>
      </c>
      <c r="E86" s="67" t="n">
        <f aca="false">($D$23*E$29)*2*(E$31)*$B$23*$C$23</f>
        <v>0</v>
      </c>
      <c r="F86" s="67" t="n">
        <f aca="false">($D$23*F$29)*2*(F$31)*$B$23*$C$23</f>
        <v>0</v>
      </c>
      <c r="G86" s="67" t="n">
        <f aca="false">($D$23*G$29)*2*(G$31)*$B$23*$C$23</f>
        <v>0</v>
      </c>
      <c r="H86" s="67" t="n">
        <f aca="false">($D$23*H$29)*2*(H$31)*$B$23*$C$23</f>
        <v>0</v>
      </c>
      <c r="I86" s="2"/>
    </row>
    <row r="87" customFormat="false" ht="17.15" hidden="false" customHeight="false" outlineLevel="0" collapsed="false">
      <c r="A87" s="30" t="s">
        <v>336</v>
      </c>
      <c r="B87" s="67" t="n">
        <f aca="false">($D$23*B$29)*MIN(($B$23*$C$23*$H$23)*MAX(1,ROUNDUP(((B$31)*$B$23*설정!$B$57)/설정!$B$61,0))+((B$31)*$B$23*설정!$B$57)+((B$31)*$C$23*설정!$B$57),($B$23*$C$23*$H$23)+((B$31)*$B$23*설정!$B$57)*MAX(1,ROUNDUP(($B$23*$C$23*$H$23)/설정!$B$61,0))+((B$31)*$C$23*설정!$B$57))</f>
        <v>0</v>
      </c>
      <c r="C87" s="67" t="n">
        <f aca="false">($D$23*C$29)*MIN(($B$23*$C$23*$H$23)*MAX(1,ROUNDUP(((C$31)*$B$23*설정!$B$57)/설정!$B$61,0))+((C$31)*$B$23*설정!$B$57)+((C$31)*$C$23*설정!$B$57),($B$23*$C$23*$H$23)+((C$31)*$B$23*설정!$B$57)*MAX(1,ROUNDUP(($B$23*$C$23*$H$23)/설정!$B$61,0))+((C$31)*$C$23*설정!$B$57))</f>
        <v>0</v>
      </c>
      <c r="D87" s="67" t="n">
        <f aca="false">($D$23*D$29)*MIN(($B$23*$C$23*$H$23)*MAX(1,ROUNDUP(((D$31)*$B$23*설정!$B$57)/설정!$B$61,0))+((D$31)*$B$23*설정!$B$57)+((D$31)*$C$23*설정!$B$57),($B$23*$C$23*$H$23)+((D$31)*$B$23*설정!$B$57)*MAX(1,ROUNDUP(($B$23*$C$23*$H$23)/설정!$B$61,0))+((D$31)*$C$23*설정!$B$57))</f>
        <v>0</v>
      </c>
      <c r="E87" s="67" t="n">
        <f aca="false">($D$23*E$29)*MIN(($B$23*$C$23*$H$23)*MAX(1,ROUNDUP(((E$31)*$B$23*설정!$B$57)/설정!$B$61,0))+((E$31)*$B$23*설정!$B$57)+((E$31)*$C$23*설정!$B$57),($B$23*$C$23*$H$23)+((E$31)*$B$23*설정!$B$57)*MAX(1,ROUNDUP(($B$23*$C$23*$H$23)/설정!$B$61,0))+((E$31)*$C$23*설정!$B$57))</f>
        <v>0</v>
      </c>
      <c r="F87" s="67" t="n">
        <f aca="false">($D$23*F$29)*MIN(($B$23*$C$23*$H$23)*MAX(1,ROUNDUP(((F$31)*$B$23*설정!$B$57)/설정!$B$61,0))+((F$31)*$B$23*설정!$B$57)+((F$31)*$C$23*설정!$B$57),($B$23*$C$23*$H$23)+((F$31)*$B$23*설정!$B$57)*MAX(1,ROUNDUP(($B$23*$C$23*$H$23)/설정!$B$61,0))+((F$31)*$C$23*설정!$B$57))</f>
        <v>0</v>
      </c>
      <c r="G87" s="67" t="n">
        <f aca="false">($D$23*G$29)*MIN(($B$23*$C$23*$H$23)*MAX(1,ROUNDUP(((G$31)*$B$23*설정!$B$57)/설정!$B$61,0))+((G$31)*$B$23*설정!$B$57)+((G$31)*$C$23*설정!$B$57),($B$23*$C$23*$H$23)+((G$31)*$B$23*설정!$B$57)*MAX(1,ROUNDUP(($B$23*$C$23*$H$23)/설정!$B$61,0))+((G$31)*$C$23*설정!$B$57))</f>
        <v>0</v>
      </c>
      <c r="H87" s="67" t="n">
        <f aca="false">($D$23*H$29)*MIN(($B$23*$C$23*$H$23)*MAX(1,ROUNDUP(((H$31)*$B$23*설정!$B$57)/설정!$B$61,0))+((H$31)*$B$23*설정!$B$57)+((H$31)*$C$23*설정!$B$57),($B$23*$C$23*$H$23)+((H$31)*$B$23*설정!$B$57)*MAX(1,ROUNDUP(($B$23*$C$23*$H$23)/설정!$B$61,0))+((H$31)*$C$23*설정!$B$57))</f>
        <v>0</v>
      </c>
      <c r="I87" s="2"/>
    </row>
    <row r="88" customFormat="false" ht="17.15" hidden="false" customHeight="false" outlineLevel="0" collapsed="false">
      <c r="A88" s="30" t="s">
        <v>337</v>
      </c>
      <c r="B88" s="68" t="n">
        <f aca="false">MAX(B86/$I$23,B87/설정!$B$60)*1000</f>
        <v>0</v>
      </c>
      <c r="C88" s="68" t="n">
        <f aca="false">MAX(C86/$I$23,C87/설정!$B$60)*1000</f>
        <v>0</v>
      </c>
      <c r="D88" s="68" t="n">
        <f aca="false">MAX(D86/$I$23,D87/설정!$B$60)*1000</f>
        <v>0</v>
      </c>
      <c r="E88" s="68" t="n">
        <f aca="false">MAX(E86/$I$23,E87/설정!$B$60)*1000</f>
        <v>0</v>
      </c>
      <c r="F88" s="68" t="n">
        <f aca="false">MAX(F86/$I$23,F87/설정!$B$60)*1000</f>
        <v>0</v>
      </c>
      <c r="G88" s="68" t="n">
        <f aca="false">MAX(G86/$I$23,G87/설정!$B$60)*1000</f>
        <v>0</v>
      </c>
      <c r="H88" s="68" t="n">
        <f aca="false">MAX(H86/$I$23,H87/설정!$B$60)*1000</f>
        <v>0</v>
      </c>
      <c r="I88" s="2"/>
    </row>
    <row r="89" customFormat="false" ht="17.15" hidden="false" customHeight="false" outlineLevel="0" collapsed="false">
      <c r="A89" s="30" t="s">
        <v>338</v>
      </c>
      <c r="B89" s="67" t="n">
        <f aca="false">($D$24)*2*(1)*$B$24*$C$24</f>
        <v>788004864</v>
      </c>
      <c r="C89" s="67" t="n">
        <f aca="false">($D$24)*2*(1)*$B$24*$C$24</f>
        <v>788004864</v>
      </c>
      <c r="D89" s="67" t="n">
        <f aca="false">($D$24)*2*(1)*$B$24*$C$24</f>
        <v>788004864</v>
      </c>
      <c r="E89" s="67" t="n">
        <f aca="false">($D$24)*2*(1)*$B$24*$C$24</f>
        <v>788004864</v>
      </c>
      <c r="F89" s="67" t="n">
        <f aca="false">($D$24)*2*(1)*$B$24*$C$24</f>
        <v>788004864</v>
      </c>
      <c r="G89" s="67" t="n">
        <f aca="false">($D$24)*2*(1)*$B$24*$C$24</f>
        <v>788004864</v>
      </c>
      <c r="H89" s="67" t="n">
        <f aca="false">($D$24)*2*(1)*$B$24*$C$24</f>
        <v>788004864</v>
      </c>
      <c r="I89" s="2"/>
    </row>
    <row r="90" customFormat="false" ht="17.15" hidden="false" customHeight="false" outlineLevel="0" collapsed="false">
      <c r="A90" s="30" t="s">
        <v>339</v>
      </c>
      <c r="B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C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D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E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F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G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H90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I90" s="2"/>
    </row>
    <row r="91" customFormat="false" ht="17.15" hidden="false" customHeight="false" outlineLevel="0" collapsed="false">
      <c r="A91" s="30" t="s">
        <v>340</v>
      </c>
      <c r="B91" s="68" t="n">
        <f aca="false">MAX(B89/$I$24,B90/설정!$B$60)*1000</f>
        <v>3.98605552941177</v>
      </c>
      <c r="C91" s="68" t="n">
        <f aca="false">MAX(C89/$I$24,C90/설정!$B$60)*1000</f>
        <v>3.98605552941177</v>
      </c>
      <c r="D91" s="68" t="n">
        <f aca="false">MAX(D89/$I$24,D90/설정!$B$60)*1000</f>
        <v>3.98605552941177</v>
      </c>
      <c r="E91" s="68" t="n">
        <f aca="false">MAX(E89/$I$24,E90/설정!$B$60)*1000</f>
        <v>3.98605552941177</v>
      </c>
      <c r="F91" s="68" t="n">
        <f aca="false">MAX(F89/$I$24,F90/설정!$B$60)*1000</f>
        <v>3.98605552941177</v>
      </c>
      <c r="G91" s="68" t="n">
        <f aca="false">MAX(G89/$I$24,G90/설정!$B$60)*1000</f>
        <v>3.98605552941177</v>
      </c>
      <c r="H91" s="68" t="n">
        <f aca="false">MAX(H89/$I$24,H90/설정!$B$60)*1000</f>
        <v>3.98605552941177</v>
      </c>
      <c r="I91" s="2"/>
    </row>
    <row r="92" customFormat="false" ht="17.15" hidden="false" customHeight="false" outlineLevel="0" collapsed="false">
      <c r="A92" s="30" t="s">
        <v>341</v>
      </c>
      <c r="B92" s="67" t="n">
        <f aca="false">B28*(B28+1)/2</f>
        <v>8256</v>
      </c>
      <c r="C92" s="67" t="n">
        <f aca="false">C28*(C28+1)/2</f>
        <v>32896</v>
      </c>
      <c r="D92" s="67" t="n">
        <f aca="false">D28*(D28+1)/2</f>
        <v>131328</v>
      </c>
      <c r="E92" s="67" t="n">
        <f aca="false">E28*(E28+1)/2</f>
        <v>524800</v>
      </c>
      <c r="F92" s="67" t="n">
        <f aca="false">F28*(F28+1)/2</f>
        <v>2098176</v>
      </c>
      <c r="G92" s="67" t="n">
        <f aca="false">G28*(G28+1)/2</f>
        <v>8390656</v>
      </c>
      <c r="H92" s="67" t="n">
        <f aca="false">H28*(H28+1)/2</f>
        <v>33558528</v>
      </c>
      <c r="I92" s="2"/>
    </row>
    <row r="93" customFormat="false" ht="17.15" hidden="false" customHeight="false" outlineLevel="0" collapsed="false">
      <c r="A93" s="30" t="s">
        <v>342</v>
      </c>
      <c r="B93" s="67" t="n">
        <f aca="false">모델!$F$12*4*모델!$F$13*모델!$F$15*B92</f>
        <v>2840592384</v>
      </c>
      <c r="C93" s="67" t="n">
        <f aca="false">모델!$F$12*4*모델!$F$13*모델!$F$15*C92</f>
        <v>11318329344</v>
      </c>
      <c r="D93" s="67" t="n">
        <f aca="false">모델!$F$12*4*모델!$F$13*모델!$F$15*D92</f>
        <v>45185236992</v>
      </c>
      <c r="E93" s="67" t="n">
        <f aca="false">모델!$F$12*4*모델!$F$13*모델!$F$15*E92</f>
        <v>180564787200</v>
      </c>
      <c r="F93" s="67" t="n">
        <f aca="false">모델!$F$12*4*모델!$F$13*모델!$F$15*F92</f>
        <v>721906827264</v>
      </c>
      <c r="G93" s="67" t="n">
        <f aca="false">모델!$F$12*4*모델!$F$13*모델!$F$15*G92</f>
        <v>2886922665984</v>
      </c>
      <c r="H93" s="67" t="n">
        <f aca="false">모델!$F$12*4*모델!$F$13*모델!$F$15*H92</f>
        <v>11546281377792</v>
      </c>
      <c r="I93" s="2"/>
    </row>
    <row r="94" customFormat="false" ht="17.15" hidden="false" customHeight="false" outlineLevel="0" collapsed="false">
      <c r="A94" s="30" t="s">
        <v>343</v>
      </c>
      <c r="B94" s="67" t="n">
        <f aca="false">모델!$F$12*(2*B28*모델!$F$13*모델!$F$15*설정!$B$57+B28*2*모델!$F$14*모델!$F$15*설정!$B$58*MAX(1,ROUNDUP(B28*(모델!$F$13/MAX(1,모델!$F$14))*모델!$F$15*설정!$B$57/설정!$B$61,0)))</f>
        <v>29360128</v>
      </c>
      <c r="C94" s="67" t="n">
        <f aca="false">모델!$F$12*(2*C28*모델!$F$13*모델!$F$15*설정!$B$57+C28*2*모델!$F$14*모델!$F$15*설정!$B$58*MAX(1,ROUNDUP(C28*(모델!$F$13/MAX(1,모델!$F$14))*모델!$F$15*설정!$B$57/설정!$B$61,0)))</f>
        <v>58720256</v>
      </c>
      <c r="D94" s="67" t="n">
        <f aca="false">모델!$F$12*(2*D28*모델!$F$13*모델!$F$15*설정!$B$57+D28*2*모델!$F$14*모델!$F$15*설정!$B$58*MAX(1,ROUNDUP(D28*(모델!$F$13/MAX(1,모델!$F$14))*모델!$F$15*설정!$B$57/설정!$B$61,0)))</f>
        <v>117440512</v>
      </c>
      <c r="E94" s="67" t="n">
        <f aca="false">모델!$F$12*(2*E28*모델!$F$13*모델!$F$15*설정!$B$57+E28*2*모델!$F$14*모델!$F$15*설정!$B$58*MAX(1,ROUNDUP(E28*(모델!$F$13/MAX(1,모델!$F$14))*모델!$F$15*설정!$B$57/설정!$B$61,0)))</f>
        <v>234881024</v>
      </c>
      <c r="F94" s="67" t="n">
        <f aca="false">모델!$F$12*(2*F28*모델!$F$13*모델!$F$15*설정!$B$57+F28*2*모델!$F$14*모델!$F$15*설정!$B$58*MAX(1,ROUNDUP(F28*(모델!$F$13/MAX(1,모델!$F$14))*모델!$F$15*설정!$B$57/설정!$B$61,0)))</f>
        <v>469762048</v>
      </c>
      <c r="G94" s="67" t="n">
        <f aca="false">모델!$F$12*(2*G28*모델!$F$13*모델!$F$15*설정!$B$57+G28*2*모델!$F$14*모델!$F$15*설정!$B$58*MAX(1,ROUNDUP(G28*(모델!$F$13/MAX(1,모델!$F$14))*모델!$F$15*설정!$B$57/설정!$B$61,0)))</f>
        <v>939524096</v>
      </c>
      <c r="H94" s="67" t="n">
        <f aca="false">모델!$F$12*(2*H28*모델!$F$13*모델!$F$15*설정!$B$57+H28*2*모델!$F$14*모델!$F$15*설정!$B$58*MAX(1,ROUNDUP(H28*(모델!$F$13/MAX(1,모델!$F$14))*모델!$F$15*설정!$B$57/설정!$B$61,0)))</f>
        <v>2348810240</v>
      </c>
      <c r="I94" s="2"/>
    </row>
    <row r="95" customFormat="false" ht="17.15" hidden="false" customHeight="false" outlineLevel="0" collapsed="false">
      <c r="A95" s="30" t="s">
        <v>344</v>
      </c>
      <c r="B95" s="68" t="n">
        <f aca="false">MAX(B93/설정!$B$68,B94/설정!$B$60)*1000</f>
        <v>0.575688784313726</v>
      </c>
      <c r="C95" s="68" t="n">
        <f aca="false">MAX(C93/설정!$B$68,C94/설정!$B$60)*1000</f>
        <v>1.15137756862745</v>
      </c>
      <c r="D95" s="68" t="n">
        <f aca="false">MAX(D93/설정!$B$68,D94/설정!$B$60)*1000</f>
        <v>2.3027551372549</v>
      </c>
      <c r="E95" s="68" t="n">
        <f aca="false">MAX(E93/설정!$B$68,E94/설정!$B$60)*1000</f>
        <v>7.5235328</v>
      </c>
      <c r="F95" s="68" t="n">
        <f aca="false">MAX(F93/설정!$B$68,F94/설정!$B$60)*1000</f>
        <v>30.079451136</v>
      </c>
      <c r="G95" s="68" t="n">
        <f aca="false">MAX(G93/설정!$B$68,G94/설정!$B$60)*1000</f>
        <v>120.288444416</v>
      </c>
      <c r="H95" s="68" t="n">
        <f aca="false">MAX(H93/설정!$B$68,H94/설정!$B$60)*1000</f>
        <v>481.095057408</v>
      </c>
      <c r="I95" s="2"/>
    </row>
    <row r="96" customFormat="false" ht="17.15" hidden="false" customHeight="false" outlineLevel="0" collapsed="false">
      <c r="A96" s="30" t="s">
        <v>345</v>
      </c>
      <c r="B96" s="67" t="n">
        <f aca="false">IF(B28&lt;=모델!$F$20,B28*(B28+1)/2,모델!$F$20*(모델!$F$20+1)/2+(B28-모델!$F$20)*모델!$F$20)</f>
        <v>0</v>
      </c>
      <c r="C96" s="67" t="n">
        <f aca="false">IF(C28&lt;=모델!$F$20,C28*(C28+1)/2,모델!$F$20*(모델!$F$20+1)/2+(C28-모델!$F$20)*모델!$F$20)</f>
        <v>0</v>
      </c>
      <c r="D96" s="67" t="n">
        <f aca="false">IF(D28&lt;=모델!$F$20,D28*(D28+1)/2,모델!$F$20*(모델!$F$20+1)/2+(D28-모델!$F$20)*모델!$F$20)</f>
        <v>0</v>
      </c>
      <c r="E96" s="67" t="n">
        <f aca="false">IF(E28&lt;=모델!$F$20,E28*(E28+1)/2,모델!$F$20*(모델!$F$20+1)/2+(E28-모델!$F$20)*모델!$F$20)</f>
        <v>0</v>
      </c>
      <c r="F96" s="67" t="n">
        <f aca="false">IF(F28&lt;=모델!$F$20,F28*(F28+1)/2,모델!$F$20*(모델!$F$20+1)/2+(F28-모델!$F$20)*모델!$F$20)</f>
        <v>0</v>
      </c>
      <c r="G96" s="67" t="n">
        <f aca="false">IF(G28&lt;=모델!$F$20,G28*(G28+1)/2,모델!$F$20*(모델!$F$20+1)/2+(G28-모델!$F$20)*모델!$F$20)</f>
        <v>0</v>
      </c>
      <c r="H96" s="67" t="n">
        <f aca="false">IF(H28&lt;=모델!$F$20,H28*(H28+1)/2,모델!$F$20*(모델!$F$20+1)/2+(H28-모델!$F$20)*모델!$F$20)</f>
        <v>0</v>
      </c>
      <c r="I96" s="2"/>
    </row>
    <row r="97" customFormat="false" ht="17.15" hidden="false" customHeight="false" outlineLevel="0" collapsed="false">
      <c r="A97" s="30" t="s">
        <v>346</v>
      </c>
      <c r="B97" s="67" t="n">
        <f aca="false">모델!$F$19*4*모델!$F$21*모델!$F$23*B96</f>
        <v>0</v>
      </c>
      <c r="C97" s="67" t="n">
        <f aca="false">모델!$F$19*4*모델!$F$21*모델!$F$23*C96</f>
        <v>0</v>
      </c>
      <c r="D97" s="67" t="n">
        <f aca="false">모델!$F$19*4*모델!$F$21*모델!$F$23*D96</f>
        <v>0</v>
      </c>
      <c r="E97" s="67" t="n">
        <f aca="false">모델!$F$19*4*모델!$F$21*모델!$F$23*E96</f>
        <v>0</v>
      </c>
      <c r="F97" s="67" t="n">
        <f aca="false">모델!$F$19*4*모델!$F$21*모델!$F$23*F96</f>
        <v>0</v>
      </c>
      <c r="G97" s="67" t="n">
        <f aca="false">모델!$F$19*4*모델!$F$21*모델!$F$23*G96</f>
        <v>0</v>
      </c>
      <c r="H97" s="67" t="n">
        <f aca="false">모델!$F$19*4*모델!$F$21*모델!$F$23*H96</f>
        <v>0</v>
      </c>
      <c r="I97" s="2"/>
    </row>
    <row r="98" customFormat="false" ht="17.15" hidden="false" customHeight="false" outlineLevel="0" collapsed="false">
      <c r="A98" s="30" t="s">
        <v>347</v>
      </c>
      <c r="B98" s="67" t="n">
        <f aca="false">모델!$F$19*(2*B28*모델!$F$21*모델!$F$23*설정!$B$57+B28*2*모델!$F$22*모델!$F$23*설정!$B$58*MAX(1,ROUNDUP(MIN(B28,모델!$F$20)*(모델!$F$21/MAX(1,모델!$F$22))*모델!$F$23*설정!$B$57/설정!$B$61,0)))</f>
        <v>0</v>
      </c>
      <c r="C98" s="67" t="n">
        <f aca="false">모델!$F$19*(2*C28*모델!$F$21*모델!$F$23*설정!$B$57+C28*2*모델!$F$22*모델!$F$23*설정!$B$58*MAX(1,ROUNDUP(MIN(C28,모델!$F$20)*(모델!$F$21/MAX(1,모델!$F$22))*모델!$F$23*설정!$B$57/설정!$B$61,0)))</f>
        <v>0</v>
      </c>
      <c r="D98" s="67" t="n">
        <f aca="false">모델!$F$19*(2*D28*모델!$F$21*모델!$F$23*설정!$B$57+D28*2*모델!$F$22*모델!$F$23*설정!$B$58*MAX(1,ROUNDUP(MIN(D28,모델!$F$20)*(모델!$F$21/MAX(1,모델!$F$22))*모델!$F$23*설정!$B$57/설정!$B$61,0)))</f>
        <v>0</v>
      </c>
      <c r="E98" s="67" t="n">
        <f aca="false">모델!$F$19*(2*E28*모델!$F$21*모델!$F$23*설정!$B$57+E28*2*모델!$F$22*모델!$F$23*설정!$B$58*MAX(1,ROUNDUP(MIN(E28,모델!$F$20)*(모델!$F$21/MAX(1,모델!$F$22))*모델!$F$23*설정!$B$57/설정!$B$61,0)))</f>
        <v>0</v>
      </c>
      <c r="F98" s="67" t="n">
        <f aca="false">모델!$F$19*(2*F28*모델!$F$21*모델!$F$23*설정!$B$57+F28*2*모델!$F$22*모델!$F$23*설정!$B$58*MAX(1,ROUNDUP(MIN(F28,모델!$F$20)*(모델!$F$21/MAX(1,모델!$F$22))*모델!$F$23*설정!$B$57/설정!$B$61,0)))</f>
        <v>0</v>
      </c>
      <c r="G98" s="67" t="n">
        <f aca="false">모델!$F$19*(2*G28*모델!$F$21*모델!$F$23*설정!$B$57+G28*2*모델!$F$22*모델!$F$23*설정!$B$58*MAX(1,ROUNDUP(MIN(G28,모델!$F$20)*(모델!$F$21/MAX(1,모델!$F$22))*모델!$F$23*설정!$B$57/설정!$B$61,0)))</f>
        <v>0</v>
      </c>
      <c r="H98" s="67" t="n">
        <f aca="false">모델!$F$19*(2*H28*모델!$F$21*모델!$F$23*설정!$B$57+H28*2*모델!$F$22*모델!$F$23*설정!$B$58*MAX(1,ROUNDUP(MIN(H28,모델!$F$20)*(모델!$F$21/MAX(1,모델!$F$22))*모델!$F$23*설정!$B$57/설정!$B$61,0)))</f>
        <v>0</v>
      </c>
      <c r="I98" s="2"/>
    </row>
    <row r="99" customFormat="false" ht="17.15" hidden="false" customHeight="false" outlineLevel="0" collapsed="false">
      <c r="A99" s="30" t="s">
        <v>348</v>
      </c>
      <c r="B99" s="68" t="n">
        <f aca="false">MAX(B97/설정!$B$68,B98/설정!$B$60)*1000</f>
        <v>0</v>
      </c>
      <c r="C99" s="68" t="n">
        <f aca="false">MAX(C97/설정!$B$68,C98/설정!$B$60)*1000</f>
        <v>0</v>
      </c>
      <c r="D99" s="68" t="n">
        <f aca="false">MAX(D97/설정!$B$68,D98/설정!$B$60)*1000</f>
        <v>0</v>
      </c>
      <c r="E99" s="68" t="n">
        <f aca="false">MAX(E97/설정!$B$68,E98/설정!$B$60)*1000</f>
        <v>0</v>
      </c>
      <c r="F99" s="68" t="n">
        <f aca="false">MAX(F97/설정!$B$68,F98/설정!$B$60)*1000</f>
        <v>0</v>
      </c>
      <c r="G99" s="68" t="n">
        <f aca="false">MAX(G97/설정!$B$68,G98/설정!$B$60)*1000</f>
        <v>0</v>
      </c>
      <c r="H99" s="68" t="n">
        <f aca="false">MAX(H97/설정!$B$68,H98/설정!$B$60)*1000</f>
        <v>0</v>
      </c>
      <c r="I99" s="2"/>
    </row>
    <row r="100" customFormat="false" ht="17.15" hidden="false" customHeight="false" outlineLevel="0" collapsed="false">
      <c r="A100" s="30" t="s">
        <v>349</v>
      </c>
      <c r="B100" s="69" t="n">
        <f aca="false">IF(모델!$F$26&gt;0,ROUNDUP(B28/MAX(1,모델!$F$32),0)*모델!$F$32,0)</f>
        <v>0</v>
      </c>
      <c r="C100" s="69" t="n">
        <f aca="false">IF(모델!$F$26&gt;0,ROUNDUP(C28/MAX(1,모델!$F$32),0)*모델!$F$32,0)</f>
        <v>0</v>
      </c>
      <c r="D100" s="69" t="n">
        <f aca="false">IF(모델!$F$26&gt;0,ROUNDUP(D28/MAX(1,모델!$F$32),0)*모델!$F$32,0)</f>
        <v>0</v>
      </c>
      <c r="E100" s="69" t="n">
        <f aca="false">IF(모델!$F$26&gt;0,ROUNDUP(E28/MAX(1,모델!$F$32),0)*모델!$F$32,0)</f>
        <v>0</v>
      </c>
      <c r="F100" s="69" t="n">
        <f aca="false">IF(모델!$F$26&gt;0,ROUNDUP(F28/MAX(1,모델!$F$32),0)*모델!$F$32,0)</f>
        <v>0</v>
      </c>
      <c r="G100" s="69" t="n">
        <f aca="false">IF(모델!$F$26&gt;0,ROUNDUP(G28/MAX(1,모델!$F$32),0)*모델!$F$32,0)</f>
        <v>0</v>
      </c>
      <c r="H100" s="69" t="n">
        <f aca="false">IF(모델!$F$26&gt;0,ROUNDUP(H28/MAX(1,모델!$F$32),0)*모델!$F$32,0)</f>
        <v>0</v>
      </c>
      <c r="I100" s="2"/>
    </row>
    <row r="101" customFormat="false" ht="17.15" hidden="false" customHeight="false" outlineLevel="0" collapsed="false">
      <c r="A101" s="30" t="s">
        <v>350</v>
      </c>
      <c r="B101" s="67" t="n">
        <f aca="false">모델!$F$26*B100*모델!$F$29*(6*모델!$F$32*모델!$F$28+4*모델!$F$32*모델!$F$30+6*모델!$F$28*모델!$F$30)</f>
        <v>0</v>
      </c>
      <c r="C101" s="67" t="n">
        <f aca="false">모델!$F$26*C100*모델!$F$29*(6*모델!$F$32*모델!$F$28+4*모델!$F$32*모델!$F$30+6*모델!$F$28*모델!$F$30)</f>
        <v>0</v>
      </c>
      <c r="D101" s="67" t="n">
        <f aca="false">모델!$F$26*D100*모델!$F$29*(6*모델!$F$32*모델!$F$28+4*모델!$F$32*모델!$F$30+6*모델!$F$28*모델!$F$30)</f>
        <v>0</v>
      </c>
      <c r="E101" s="67" t="n">
        <f aca="false">모델!$F$26*E100*모델!$F$29*(6*모델!$F$32*모델!$F$28+4*모델!$F$32*모델!$F$30+6*모델!$F$28*모델!$F$30)</f>
        <v>0</v>
      </c>
      <c r="F101" s="67" t="n">
        <f aca="false">모델!$F$26*F100*모델!$F$29*(6*모델!$F$32*모델!$F$28+4*모델!$F$32*모델!$F$30+6*모델!$F$28*모델!$F$30)</f>
        <v>0</v>
      </c>
      <c r="G101" s="67" t="n">
        <f aca="false">모델!$F$26*G100*모델!$F$29*(6*모델!$F$32*모델!$F$28+4*모델!$F$32*모델!$F$30+6*모델!$F$28*모델!$F$30)</f>
        <v>0</v>
      </c>
      <c r="H101" s="67" t="n">
        <f aca="false">모델!$F$26*H100*모델!$F$29*(6*모델!$F$32*모델!$F$28+4*모델!$F$32*모델!$F$30+6*모델!$F$28*모델!$F$30)</f>
        <v>0</v>
      </c>
      <c r="I101" s="2"/>
    </row>
    <row r="102" customFormat="false" ht="17.15" hidden="false" customHeight="false" outlineLevel="0" collapsed="false">
      <c r="A102" s="30" t="s">
        <v>351</v>
      </c>
      <c r="B102" s="67" t="n">
        <f aca="false">모델!$F$26*(B28*(모델!$F$52+2*모델!$F$29)*설정!$B$57+B28*모델!$F$29*모델!$F$30*설정!$B$57+모델!$F$29*모델!$F$28*모델!$F$30*설정!$B$59)</f>
        <v>0</v>
      </c>
      <c r="C102" s="67" t="n">
        <f aca="false">모델!$F$26*(C28*(모델!$F$52+2*모델!$F$29)*설정!$B$57+C28*모델!$F$29*모델!$F$30*설정!$B$57+모델!$F$29*모델!$F$28*모델!$F$30*설정!$B$59)</f>
        <v>0</v>
      </c>
      <c r="D102" s="67" t="n">
        <f aca="false">모델!$F$26*(D28*(모델!$F$52+2*모델!$F$29)*설정!$B$57+D28*모델!$F$29*모델!$F$30*설정!$B$57+모델!$F$29*모델!$F$28*모델!$F$30*설정!$B$59)</f>
        <v>0</v>
      </c>
      <c r="E102" s="67" t="n">
        <f aca="false">모델!$F$26*(E28*(모델!$F$52+2*모델!$F$29)*설정!$B$57+E28*모델!$F$29*모델!$F$30*설정!$B$57+모델!$F$29*모델!$F$28*모델!$F$30*설정!$B$59)</f>
        <v>0</v>
      </c>
      <c r="F102" s="67" t="n">
        <f aca="false">모델!$F$26*(F28*(모델!$F$52+2*모델!$F$29)*설정!$B$57+F28*모델!$F$29*모델!$F$30*설정!$B$57+모델!$F$29*모델!$F$28*모델!$F$30*설정!$B$59)</f>
        <v>0</v>
      </c>
      <c r="G102" s="67" t="n">
        <f aca="false">모델!$F$26*(G28*(모델!$F$52+2*모델!$F$29)*설정!$B$57+G28*모델!$F$29*모델!$F$30*설정!$B$57+모델!$F$29*모델!$F$28*모델!$F$30*설정!$B$59)</f>
        <v>0</v>
      </c>
      <c r="H102" s="67" t="n">
        <f aca="false">모델!$F$26*(H28*(모델!$F$52+2*모델!$F$29)*설정!$B$57+H28*모델!$F$29*모델!$F$30*설정!$B$57+모델!$F$29*모델!$F$28*모델!$F$30*설정!$B$59)</f>
        <v>0</v>
      </c>
      <c r="I102" s="2"/>
    </row>
    <row r="103" customFormat="false" ht="17.15" hidden="false" customHeight="false" outlineLevel="0" collapsed="false">
      <c r="A103" s="30" t="s">
        <v>352</v>
      </c>
      <c r="B103" s="68" t="n">
        <f aca="false">MAX(B101/설정!$B$69,B102/설정!$B$60)*1000</f>
        <v>0</v>
      </c>
      <c r="C103" s="68" t="n">
        <f aca="false">MAX(C101/설정!$B$69,C102/설정!$B$60)*1000</f>
        <v>0</v>
      </c>
      <c r="D103" s="68" t="n">
        <f aca="false">MAX(D101/설정!$B$69,D102/설정!$B$60)*1000</f>
        <v>0</v>
      </c>
      <c r="E103" s="68" t="n">
        <f aca="false">MAX(E101/설정!$B$69,E102/설정!$B$60)*1000</f>
        <v>0</v>
      </c>
      <c r="F103" s="68" t="n">
        <f aca="false">MAX(F101/설정!$B$69,F102/설정!$B$60)*1000</f>
        <v>0</v>
      </c>
      <c r="G103" s="68" t="n">
        <f aca="false">MAX(G101/설정!$B$69,G102/설정!$B$60)*1000</f>
        <v>0</v>
      </c>
      <c r="H103" s="68" t="n">
        <f aca="false">MAX(H101/설정!$B$69,H102/설정!$B$60)*1000</f>
        <v>0</v>
      </c>
      <c r="I103" s="2"/>
    </row>
    <row r="104" customFormat="false" ht="17.15" hidden="false" customHeight="false" outlineLevel="0" collapsed="false">
      <c r="A104" s="30" t="s">
        <v>353</v>
      </c>
      <c r="B104" s="68" t="n">
        <f aca="false">모델!$F$49*IF(설정!$B$40="CPU",설정!$B$41/1000+((B28)*모델!$F$36*설정!$B$43/8+(B28)*모델!$F$37*설정!$B$44)/(설정!$B$42*1000000000)*1000+(B28)*모델!$F$36*설정!$B$45/1000000,설정!$B$46/1000)</f>
        <v>0</v>
      </c>
      <c r="C104" s="68" t="n">
        <f aca="false">모델!$F$49*IF(설정!$B$40="CPU",설정!$B$41/1000+((C28)*모델!$F$36*설정!$B$43/8+(C28)*모델!$F$37*설정!$B$44)/(설정!$B$42*1000000000)*1000+(C28)*모델!$F$36*설정!$B$45/1000000,설정!$B$46/1000)</f>
        <v>0</v>
      </c>
      <c r="D104" s="68" t="n">
        <f aca="false">모델!$F$49*IF(설정!$B$40="CPU",설정!$B$41/1000+((D28)*모델!$F$36*설정!$B$43/8+(D28)*모델!$F$37*설정!$B$44)/(설정!$B$42*1000000000)*1000+(D28)*모델!$F$36*설정!$B$45/1000000,설정!$B$46/1000)</f>
        <v>0</v>
      </c>
      <c r="E104" s="68" t="n">
        <f aca="false">모델!$F$49*IF(설정!$B$40="CPU",설정!$B$41/1000+((E28)*모델!$F$36*설정!$B$43/8+(E28)*모델!$F$37*설정!$B$44)/(설정!$B$42*1000000000)*1000+(E28)*모델!$F$36*설정!$B$45/1000000,설정!$B$46/1000)</f>
        <v>0</v>
      </c>
      <c r="F104" s="68" t="n">
        <f aca="false">모델!$F$49*IF(설정!$B$40="CPU",설정!$B$41/1000+((F28)*모델!$F$36*설정!$B$43/8+(F28)*모델!$F$37*설정!$B$44)/(설정!$B$42*1000000000)*1000+(F28)*모델!$F$36*설정!$B$45/1000000,설정!$B$46/1000)</f>
        <v>0</v>
      </c>
      <c r="G104" s="68" t="n">
        <f aca="false">모델!$F$49*IF(설정!$B$40="CPU",설정!$B$41/1000+((G28)*모델!$F$36*설정!$B$43/8+(G28)*모델!$F$37*설정!$B$44)/(설정!$B$42*1000000000)*1000+(G28)*모델!$F$36*설정!$B$45/1000000,설정!$B$46/1000)</f>
        <v>0</v>
      </c>
      <c r="H104" s="68" t="n">
        <f aca="false">모델!$F$49*IF(설정!$B$40="CPU",설정!$B$41/1000+((H28)*모델!$F$36*설정!$B$43/8+(H28)*모델!$F$37*설정!$B$44)/(설정!$B$42*1000000000)*1000+(H28)*모델!$F$36*설정!$B$45/1000000,설정!$B$46/1000)</f>
        <v>0</v>
      </c>
      <c r="I104" s="2"/>
    </row>
    <row r="105" customFormat="false" ht="17.15" hidden="false" customHeight="false" outlineLevel="0" collapsed="false">
      <c r="A105" s="33" t="s">
        <v>354</v>
      </c>
      <c r="B105" s="64" t="n">
        <f aca="false">B34+B37+B40+B43+B46+B49+B52+B55+B58+B61+B64+B67+B70+B73+B76+B79+B82+B85+B88+B91</f>
        <v>36.2965885490196</v>
      </c>
      <c r="C105" s="64" t="n">
        <f aca="false">C34+C37+C40+C43+C46+C49+C52+C55+C58+C61+C64+C67+C70+C73+C76+C79+C82+C85+C88+C91</f>
        <v>64.9146537060392</v>
      </c>
      <c r="D105" s="64" t="n">
        <f aca="false">D34+D37+D40+D43+D46+D49+D52+D55+D58+D61+D64+D67+D70+D73+D76+D79+D82+D85+D88+D91</f>
        <v>124.245139817412</v>
      </c>
      <c r="E105" s="64" t="n">
        <f aca="false">E34+E37+E40+E43+E46+E49+E52+E55+E58+E61+E64+E67+E70+E73+E76+E79+E82+E85+E88+E91</f>
        <v>244.504224105412</v>
      </c>
      <c r="F105" s="64" t="n">
        <f aca="false">F34+F37+F40+F43+F46+F49+F52+F55+F58+F61+F64+F67+F70+F73+F76+F79+F82+F85+F88+F91</f>
        <v>485.022392681412</v>
      </c>
      <c r="G105" s="64" t="n">
        <f aca="false">G34+G37+G40+G43+G46+G49+G52+G55+G58+G61+G64+G67+G70+G73+G76+G79+G82+G85+G88+G91</f>
        <v>966.058729833412</v>
      </c>
      <c r="H105" s="64" t="n">
        <f aca="false">H34+H37+H40+H43+H46+H49+H52+H55+H58+H61+H64+H67+H70+H73+H76+H79+H82+H85+H88+H91</f>
        <v>1928.13140413741</v>
      </c>
      <c r="I105" s="2"/>
    </row>
    <row r="106" customFormat="false" ht="17.15" hidden="false" customHeight="false" outlineLevel="0" collapsed="false">
      <c r="A106" s="33" t="s">
        <v>355</v>
      </c>
      <c r="B106" s="64" t="n">
        <f aca="false">B95+B99+B103</f>
        <v>0.575688784313726</v>
      </c>
      <c r="C106" s="64" t="n">
        <f aca="false">C95+C99+C103</f>
        <v>1.15137756862745</v>
      </c>
      <c r="D106" s="64" t="n">
        <f aca="false">D95+D99+D103</f>
        <v>2.3027551372549</v>
      </c>
      <c r="E106" s="64" t="n">
        <f aca="false">E95+E99+E103</f>
        <v>7.5235328</v>
      </c>
      <c r="F106" s="64" t="n">
        <f aca="false">F95+F99+F103</f>
        <v>30.079451136</v>
      </c>
      <c r="G106" s="64" t="n">
        <f aca="false">G95+G99+G103</f>
        <v>120.288444416</v>
      </c>
      <c r="H106" s="64" t="n">
        <f aca="false">H95+H99+H103</f>
        <v>481.095057408</v>
      </c>
      <c r="I106" s="2"/>
    </row>
    <row r="107" customFormat="false" ht="17.15" hidden="false" customHeight="false" outlineLevel="0" collapsed="false">
      <c r="A107" s="33" t="s">
        <v>356</v>
      </c>
      <c r="B107" s="64" t="n">
        <f aca="false">(B32/$I$5+B35/$I$6+B38/$I$7+B41/$I$8+B44/$I$9+B47/$I$10+B50/$I$11+B53/$I$12+B56/$I$13+B59/$I$14+B62/$I$15+B65/$I$16+B68/$I$17+B71/$I$18+B74/$I$19+B77/$I$20+B80/$I$21+B83/$I$22+B86/$I$23+B89/$I$24+(B93+B97)/설정!$B$68+B101/설정!$B$69)*1000</f>
        <v>30.215962624</v>
      </c>
      <c r="C107" s="64" t="n">
        <f aca="false">(C32/$I$5+C35/$I$6+C38/$I$7+C41/$I$8+C44/$I$9+C47/$I$10+C50/$I$11+C53/$I$12+C56/$I$13+C59/$I$14+C62/$I$15+C65/$I$16+C68/$I$17+C71/$I$18+C74/$I$19+C77/$I$20+C80/$I$21+C83/$I$22+C86/$I$23+C89/$I$24+(C93+C97)/설정!$B$68+C101/설정!$B$69)*1000</f>
        <v>60.633972736</v>
      </c>
      <c r="D107" s="64" t="n">
        <f aca="false">(D32/$I$5+D35/$I$6+D38/$I$7+D41/$I$8+D44/$I$9+D47/$I$10+D50/$I$11+D53/$I$12+D56/$I$13+D59/$I$14+D62/$I$15+D65/$I$16+D68/$I$17+D71/$I$18+D74/$I$19+D77/$I$20+D80/$I$21+D83/$I$22+D86/$I$23+D89/$I$24+(D93+D97)/설정!$B$68+D101/설정!$B$69)*1000</f>
        <v>122.174636032</v>
      </c>
      <c r="E107" s="64" t="n">
        <f aca="false">(E32/$I$5+E35/$I$6+E38/$I$7+E41/$I$8+E44/$I$9+E47/$I$10+E50/$I$11+E53/$I$12+E56/$I$13+E59/$I$14+E62/$I$15+E65/$I$16+E68/$I$17+E71/$I$18+E74/$I$19+E77/$I$20+E80/$I$21+E83/$I$22+E86/$I$23+E89/$I$24+(E93+E97)/설정!$B$68+E101/설정!$B$69)*1000</f>
        <v>248.074534912</v>
      </c>
      <c r="F107" s="64" t="n">
        <f aca="false">(F32/$I$5+F35/$I$6+F38/$I$7+F41/$I$8+F44/$I$9+F47/$I$10+F50/$I$11+F53/$I$12+F56/$I$13+F59/$I$14+F62/$I$15+F65/$I$16+F68/$I$17+F71/$I$18+F74/$I$19+F77/$I$20+F80/$I$21+F83/$I$22+F86/$I$23+F89/$I$24+(F93+F97)/설정!$B$68+F101/설정!$B$69)*1000</f>
        <v>511.148621824</v>
      </c>
      <c r="G107" s="64" t="n">
        <f aca="false">(G32/$I$5+G35/$I$6+G38/$I$7+G41/$I$8+G44/$I$9+G47/$I$10+G50/$I$11+G53/$I$12+G56/$I$13+G59/$I$14+G62/$I$15+G65/$I$16+G68/$I$17+G71/$I$18+G74/$I$19+G77/$I$20+G80/$I$21+G83/$I$22+G86/$I$23+G89/$I$24+(G93+G97)/설정!$B$68+G101/설정!$B$69)*1000</f>
        <v>1082.393952256</v>
      </c>
      <c r="H107" s="64" t="n">
        <f aca="false">(H32/$I$5+H35/$I$6+H38/$I$7+H41/$I$8+H44/$I$9+H47/$I$10+H50/$I$11+H53/$I$12+H56/$I$13+H59/$I$14+H62/$I$15+H65/$I$16+H68/$I$17+H71/$I$18+H74/$I$19+H77/$I$20+H80/$I$21+H83/$I$22+H86/$I$23+H89/$I$24+(H93+H97)/설정!$B$68+H101/설정!$B$69)*1000</f>
        <v>2405.273239552</v>
      </c>
      <c r="I107" s="2"/>
    </row>
    <row r="108" customFormat="false" ht="17.15" hidden="false" customHeight="false" outlineLevel="0" collapsed="false">
      <c r="A108" s="33" t="s">
        <v>357</v>
      </c>
      <c r="B108" s="68" t="n">
        <f aca="false">(B33+B36+B39+B42+B45+B48+B51+B54+B57+B60+B63+B66+B69+B72+B75+B78+B81+B84+B87+B90+B94+B98+B102)/1000000000</f>
        <v>1.880486144</v>
      </c>
      <c r="C108" s="68" t="n">
        <f aca="false">(C33+C36+C39+C42+C45+C48+C51+C54+C57+C60+C63+C66+C69+C72+C75+C78+C81+C84+C87+C90+C94+C98+C102)/1000000000</f>
        <v>2.467688704</v>
      </c>
      <c r="D108" s="68" t="n">
        <f aca="false">(D33+D36+D39+D42+D45+D48+D51+D54+D57+D60+D63+D66+D69+D72+D75+D78+D81+D84+D87+D90+D94+D98+D102)/1000000000</f>
        <v>3.27876224</v>
      </c>
      <c r="E108" s="68" t="n">
        <f aca="false">(E33+E36+E39+E42+E45+E48+E51+E54+E57+E60+E63+E66+E69+E72+E75+E78+E81+E84+E87+E90+E94+E98+E102)/1000000000</f>
        <v>5.900071168</v>
      </c>
      <c r="F108" s="68" t="n">
        <f aca="false">(F33+F36+F39+F42+F45+F48+F51+F54+F57+F60+F63+F66+F69+F72+F75+F78+F81+F84+F87+F90+F94+F98+F102)/1000000000</f>
        <v>11.393167616</v>
      </c>
      <c r="G108" s="68" t="n">
        <f aca="false">(G33+G36+G39+G42+G45+G48+G51+G54+G57+G60+G63+G66+G69+G72+G75+G78+G81+G84+G87+G90+G94+G98+G102)/1000000000</f>
        <v>21.73894272</v>
      </c>
      <c r="H108" s="68" t="n">
        <f aca="false">(H33+H36+H39+H42+H45+H48+H51+H54+H57+H60+H63+H66+H69+H72+H75+H78+H81+H84+H87+H90+H94+H98+H102)/1000000000</f>
        <v>42.29103232</v>
      </c>
      <c r="I108" s="2"/>
    </row>
    <row r="109" customFormat="false" ht="17.15" hidden="false" customHeight="false" outlineLevel="0" collapsed="false">
      <c r="A109" s="33" t="s">
        <v>358</v>
      </c>
      <c r="B109" s="64" t="n">
        <f aca="false">B108*1000000000/설정!$B$60*1000</f>
        <v>36.8722773333333</v>
      </c>
      <c r="C109" s="64" t="n">
        <f aca="false">C108*1000000000/설정!$B$60*1000</f>
        <v>48.3860530196078</v>
      </c>
      <c r="D109" s="64" t="n">
        <f aca="false">D108*1000000000/설정!$B$60*1000</f>
        <v>64.2894556862745</v>
      </c>
      <c r="E109" s="64" t="n">
        <f aca="false">E108*1000000000/설정!$B$60*1000</f>
        <v>115.687669960784</v>
      </c>
      <c r="F109" s="64" t="n">
        <f aca="false">F108*1000000000/설정!$B$60*1000</f>
        <v>223.39544345098</v>
      </c>
      <c r="G109" s="64" t="n">
        <f aca="false">G108*1000000000/설정!$B$60*1000</f>
        <v>426.253778823529</v>
      </c>
      <c r="H109" s="64" t="n">
        <f aca="false">H108*1000000000/설정!$B$60*1000</f>
        <v>829.235927843137</v>
      </c>
      <c r="I109" s="2"/>
    </row>
    <row r="110" customFormat="false" ht="15" hidden="false" customHeight="false" outlineLevel="0" collapsed="false">
      <c r="A110" s="33" t="s">
        <v>359</v>
      </c>
      <c r="B110" s="70" t="str">
        <f aca="false">IF(B107&gt;B109,"연산","메모리")</f>
        <v>메모리</v>
      </c>
      <c r="C110" s="70" t="str">
        <f aca="false">IF(C107&gt;C109,"연산","메모리")</f>
        <v>연산</v>
      </c>
      <c r="D110" s="70" t="str">
        <f aca="false">IF(D107&gt;D109,"연산","메모리")</f>
        <v>연산</v>
      </c>
      <c r="E110" s="70" t="str">
        <f aca="false">IF(E107&gt;E109,"연산","메모리")</f>
        <v>연산</v>
      </c>
      <c r="F110" s="70" t="str">
        <f aca="false">IF(F107&gt;F109,"연산","메모리")</f>
        <v>연산</v>
      </c>
      <c r="G110" s="70" t="str">
        <f aca="false">IF(G107&gt;G109,"연산","메모리")</f>
        <v>연산</v>
      </c>
      <c r="H110" s="70" t="str">
        <f aca="false">IF(H107&gt;H109,"연산","메모리")</f>
        <v>연산</v>
      </c>
      <c r="I110" s="2"/>
    </row>
    <row r="111" customFormat="false" ht="15" hidden="false" customHeight="false" outlineLevel="0" collapsed="false">
      <c r="A111" s="16" t="s">
        <v>14</v>
      </c>
      <c r="B111" s="71" t="n">
        <f aca="false">(B105+B106)*(1+설정!$B$14)+B104+설정!$B$15</f>
        <v>40.5595050666667</v>
      </c>
      <c r="C111" s="71" t="n">
        <f aca="false">(C105+C106)*(1+설정!$B$14)+C104+설정!$B$15</f>
        <v>72.6726344021333</v>
      </c>
      <c r="D111" s="71" t="n">
        <f aca="false">(D105+D106)*(1+설정!$B$14)+D104+설정!$B$15</f>
        <v>139.202684450133</v>
      </c>
      <c r="E111" s="71" t="n">
        <f aca="false">(E105+E106)*(1+설정!$B$14)+E104+설정!$B$15</f>
        <v>277.230532595953</v>
      </c>
      <c r="F111" s="71" t="n">
        <f aca="false">(F105+F106)*(1+설정!$B$14)+F104+설정!$B$15</f>
        <v>566.612028199153</v>
      </c>
      <c r="G111" s="71" t="n">
        <f aca="false">(G105+G106)*(1+설정!$B$14)+G104+설정!$B$15</f>
        <v>1194.98189167435</v>
      </c>
      <c r="H111" s="71" t="n">
        <f aca="false">(H105+H106)*(1+설정!$B$14)+H104+설정!$B$15</f>
        <v>2650.14910769995</v>
      </c>
      <c r="I111" s="2"/>
    </row>
    <row r="112" customFormat="false" ht="17.15" hidden="false" customHeight="false" outlineLevel="0" collapsed="false">
      <c r="A112" s="30" t="s">
        <v>360</v>
      </c>
      <c r="B112" s="72" t="n">
        <f aca="false">IF(B111&gt;0,B104/B111,0)</f>
        <v>0</v>
      </c>
      <c r="C112" s="72" t="n">
        <f aca="false">IF(C111&gt;0,C104/C111,0)</f>
        <v>0</v>
      </c>
      <c r="D112" s="72" t="n">
        <f aca="false">IF(D111&gt;0,D104/D111,0)</f>
        <v>0</v>
      </c>
      <c r="E112" s="72" t="n">
        <f aca="false">IF(E111&gt;0,E104/E111,0)</f>
        <v>0</v>
      </c>
      <c r="F112" s="72" t="n">
        <f aca="false">IF(F111&gt;0,F104/F111,0)</f>
        <v>0</v>
      </c>
      <c r="G112" s="72" t="n">
        <f aca="false">IF(G111&gt;0,G104/G111,0)</f>
        <v>0</v>
      </c>
      <c r="H112" s="72" t="n">
        <f aca="false">IF(H111&gt;0,H104/H111,0)</f>
        <v>0</v>
      </c>
      <c r="I112" s="2"/>
    </row>
    <row r="113" customFormat="false" ht="17.15" hidden="false" customHeight="false" outlineLevel="0" collapsed="false">
      <c r="A113" s="30" t="s">
        <v>361</v>
      </c>
      <c r="B113" s="72" t="n">
        <f aca="false">IF(B111&gt;0,B103*(1+설정!$B$14)/B111,0)</f>
        <v>0</v>
      </c>
      <c r="C113" s="72" t="n">
        <f aca="false">IF(C111&gt;0,C103*(1+설정!$B$14)/C111,0)</f>
        <v>0</v>
      </c>
      <c r="D113" s="72" t="n">
        <f aca="false">IF(D111&gt;0,D103*(1+설정!$B$14)/D111,0)</f>
        <v>0</v>
      </c>
      <c r="E113" s="72" t="n">
        <f aca="false">IF(E111&gt;0,E103*(1+설정!$B$14)/E111,0)</f>
        <v>0</v>
      </c>
      <c r="F113" s="72" t="n">
        <f aca="false">IF(F111&gt;0,F103*(1+설정!$B$14)/F111,0)</f>
        <v>0</v>
      </c>
      <c r="G113" s="72" t="n">
        <f aca="false">IF(G111&gt;0,G103*(1+설정!$B$14)/G111,0)</f>
        <v>0</v>
      </c>
      <c r="H113" s="72" t="n">
        <f aca="false">IF(H111&gt;0,H103*(1+설정!$B$14)/H111,0)</f>
        <v>0</v>
      </c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7.15" hidden="false" customHeight="false" outlineLevel="0" collapsed="false">
      <c r="A115" s="28" t="s">
        <v>362</v>
      </c>
      <c r="B115" s="29"/>
      <c r="C115" s="29"/>
      <c r="D115" s="29"/>
      <c r="E115" s="29"/>
      <c r="F115" s="29"/>
      <c r="G115" s="29"/>
      <c r="H115" s="29"/>
      <c r="I115" s="29"/>
    </row>
    <row r="116" customFormat="false" ht="15" hidden="false" customHeight="false" outlineLevel="0" collapsed="false">
      <c r="A116" s="7" t="s">
        <v>363</v>
      </c>
      <c r="B116" s="73" t="n">
        <f aca="false">설정!$B$54+설정!$B$51*설정!$B$52</f>
        <v>256</v>
      </c>
      <c r="C116" s="73" t="n">
        <f aca="false">설정!$C$54+설정!$B$51*설정!$B$52</f>
        <v>384</v>
      </c>
      <c r="D116" s="73" t="n">
        <f aca="false">설정!$D$54+설정!$B$51*설정!$B$52</f>
        <v>640</v>
      </c>
      <c r="E116" s="73" t="n">
        <f aca="false">설정!$E$54+설정!$B$51*설정!$B$52</f>
        <v>1152</v>
      </c>
      <c r="F116" s="73" t="n">
        <f aca="false">설정!$F$54+설정!$B$51*설정!$B$52</f>
        <v>2176</v>
      </c>
      <c r="G116" s="73" t="n">
        <f aca="false">설정!$G$54+설정!$B$51*설정!$B$52</f>
        <v>4224</v>
      </c>
      <c r="H116" s="73" t="n">
        <f aca="false">설정!$H$54+설정!$B$51*설정!$B$52</f>
        <v>8320</v>
      </c>
      <c r="I116" s="2"/>
    </row>
    <row r="117" customFormat="false" ht="17.15" hidden="false" customHeight="false" outlineLevel="0" collapsed="false">
      <c r="A117" s="30" t="s">
        <v>281</v>
      </c>
      <c r="B117" s="67" t="n">
        <f aca="false">($D$5)*2*(1)*$B$5*$C$5</f>
        <v>528482304</v>
      </c>
      <c r="C117" s="67" t="n">
        <f aca="false">($D$5)*2*(1)*$B$5*$C$5</f>
        <v>528482304</v>
      </c>
      <c r="D117" s="67" t="n">
        <f aca="false">($D$5)*2*(1)*$B$5*$C$5</f>
        <v>528482304</v>
      </c>
      <c r="E117" s="67" t="n">
        <f aca="false">($D$5)*2*(1)*$B$5*$C$5</f>
        <v>528482304</v>
      </c>
      <c r="F117" s="67" t="n">
        <f aca="false">($D$5)*2*(1)*$B$5*$C$5</f>
        <v>528482304</v>
      </c>
      <c r="G117" s="67" t="n">
        <f aca="false">($D$5)*2*(1)*$B$5*$C$5</f>
        <v>528482304</v>
      </c>
      <c r="H117" s="67" t="n">
        <f aca="false">($D$5)*2*(1)*$B$5*$C$5</f>
        <v>528482304</v>
      </c>
      <c r="I117" s="2"/>
    </row>
    <row r="118" customFormat="false" ht="17.15" hidden="false" customHeight="false" outlineLevel="0" collapsed="false">
      <c r="A118" s="30" t="s">
        <v>282</v>
      </c>
      <c r="B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136421376</v>
      </c>
      <c r="C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136421376</v>
      </c>
      <c r="D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136421376</v>
      </c>
      <c r="E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136421376</v>
      </c>
      <c r="F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136421376</v>
      </c>
      <c r="G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136421376</v>
      </c>
      <c r="H118" s="67" t="n">
        <f aca="false">($D$5)*MIN(($B$5*$C$5*$H$5)*MAX(1,ROUNDUP(((1)*$B$5*설정!$B$57)/설정!$B$61,0))+((1)*$B$5*설정!$B$57)+((1)*$C$5*설정!$B$57),($B$5*$C$5*$H$5)+((1)*$B$5*설정!$B$57)*MAX(1,ROUNDUP(($B$5*$C$5*$H$5)/설정!$B$61,0))+((1)*$C$5*설정!$B$57))</f>
        <v>136421376</v>
      </c>
      <c r="I118" s="2"/>
    </row>
    <row r="119" customFormat="false" ht="17.15" hidden="false" customHeight="false" outlineLevel="0" collapsed="false">
      <c r="A119" s="30" t="s">
        <v>283</v>
      </c>
      <c r="B119" s="68" t="n">
        <f aca="false">MAX(B117/$I$5,B118/설정!$B$60)*1000</f>
        <v>2.67492894117647</v>
      </c>
      <c r="C119" s="68" t="n">
        <f aca="false">MAX(C117/$I$5,C118/설정!$B$60)*1000</f>
        <v>2.67492894117647</v>
      </c>
      <c r="D119" s="68" t="n">
        <f aca="false">MAX(D117/$I$5,D118/설정!$B$60)*1000</f>
        <v>2.67492894117647</v>
      </c>
      <c r="E119" s="68" t="n">
        <f aca="false">MAX(E117/$I$5,E118/설정!$B$60)*1000</f>
        <v>2.67492894117647</v>
      </c>
      <c r="F119" s="68" t="n">
        <f aca="false">MAX(F117/$I$5,F118/설정!$B$60)*1000</f>
        <v>2.67492894117647</v>
      </c>
      <c r="G119" s="68" t="n">
        <f aca="false">MAX(G117/$I$5,G118/설정!$B$60)*1000</f>
        <v>2.67492894117647</v>
      </c>
      <c r="H119" s="68" t="n">
        <f aca="false">MAX(H117/$I$5,H118/설정!$B$60)*1000</f>
        <v>2.67492894117647</v>
      </c>
      <c r="I119" s="2"/>
    </row>
    <row r="120" customFormat="false" ht="17.15" hidden="false" customHeight="false" outlineLevel="0" collapsed="false">
      <c r="A120" s="30" t="s">
        <v>284</v>
      </c>
      <c r="B120" s="67" t="n">
        <f aca="false">($D$6)*2*(1)*$B$6*$C$6</f>
        <v>176160768</v>
      </c>
      <c r="C120" s="67" t="n">
        <f aca="false">($D$6)*2*(1)*$B$6*$C$6</f>
        <v>176160768</v>
      </c>
      <c r="D120" s="67" t="n">
        <f aca="false">($D$6)*2*(1)*$B$6*$C$6</f>
        <v>176160768</v>
      </c>
      <c r="E120" s="67" t="n">
        <f aca="false">($D$6)*2*(1)*$B$6*$C$6</f>
        <v>176160768</v>
      </c>
      <c r="F120" s="67" t="n">
        <f aca="false">($D$6)*2*(1)*$B$6*$C$6</f>
        <v>176160768</v>
      </c>
      <c r="G120" s="67" t="n">
        <f aca="false">($D$6)*2*(1)*$B$6*$C$6</f>
        <v>176160768</v>
      </c>
      <c r="H120" s="67" t="n">
        <f aca="false">($D$6)*2*(1)*$B$6*$C$6</f>
        <v>176160768</v>
      </c>
      <c r="I120" s="2"/>
    </row>
    <row r="121" customFormat="false" ht="17.15" hidden="false" customHeight="false" outlineLevel="0" collapsed="false">
      <c r="A121" s="30" t="s">
        <v>285</v>
      </c>
      <c r="B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45531136</v>
      </c>
      <c r="C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45531136</v>
      </c>
      <c r="D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45531136</v>
      </c>
      <c r="E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45531136</v>
      </c>
      <c r="F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45531136</v>
      </c>
      <c r="G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45531136</v>
      </c>
      <c r="H121" s="67" t="n">
        <f aca="false">($D$6)*MIN(($B$6*$C$6*$H$6)*MAX(1,ROUNDUP(((1)*$B$6*설정!$B$57)/설정!$B$61,0))+((1)*$B$6*설정!$B$57)+((1)*$C$6*설정!$B$57),($B$6*$C$6*$H$6)+((1)*$B$6*설정!$B$57)*MAX(1,ROUNDUP(($B$6*$C$6*$H$6)/설정!$B$61,0))+((1)*$C$6*설정!$B$57))</f>
        <v>45531136</v>
      </c>
      <c r="I121" s="2"/>
    </row>
    <row r="122" customFormat="false" ht="17.15" hidden="false" customHeight="false" outlineLevel="0" collapsed="false">
      <c r="A122" s="30" t="s">
        <v>286</v>
      </c>
      <c r="B122" s="68" t="n">
        <f aca="false">MAX(B120/$I$6,B121/설정!$B$60)*1000</f>
        <v>0.89276737254902</v>
      </c>
      <c r="C122" s="68" t="n">
        <f aca="false">MAX(C120/$I$6,C121/설정!$B$60)*1000</f>
        <v>0.89276737254902</v>
      </c>
      <c r="D122" s="68" t="n">
        <f aca="false">MAX(D120/$I$6,D121/설정!$B$60)*1000</f>
        <v>0.89276737254902</v>
      </c>
      <c r="E122" s="68" t="n">
        <f aca="false">MAX(E120/$I$6,E121/설정!$B$60)*1000</f>
        <v>0.89276737254902</v>
      </c>
      <c r="F122" s="68" t="n">
        <f aca="false">MAX(F120/$I$6,F121/설정!$B$60)*1000</f>
        <v>0.89276737254902</v>
      </c>
      <c r="G122" s="68" t="n">
        <f aca="false">MAX(G120/$I$6,G121/설정!$B$60)*1000</f>
        <v>0.89276737254902</v>
      </c>
      <c r="H122" s="68" t="n">
        <f aca="false">MAX(H120/$I$6,H121/설정!$B$60)*1000</f>
        <v>0.89276737254902</v>
      </c>
      <c r="I122" s="2"/>
    </row>
    <row r="123" customFormat="false" ht="17.15" hidden="false" customHeight="false" outlineLevel="0" collapsed="false">
      <c r="A123" s="30" t="s">
        <v>287</v>
      </c>
      <c r="B123" s="67" t="n">
        <f aca="false">($D$7)*2*(1)*$B$7*$C$7</f>
        <v>176160768</v>
      </c>
      <c r="C123" s="67" t="n">
        <f aca="false">($D$7)*2*(1)*$B$7*$C$7</f>
        <v>176160768</v>
      </c>
      <c r="D123" s="67" t="n">
        <f aca="false">($D$7)*2*(1)*$B$7*$C$7</f>
        <v>176160768</v>
      </c>
      <c r="E123" s="67" t="n">
        <f aca="false">($D$7)*2*(1)*$B$7*$C$7</f>
        <v>176160768</v>
      </c>
      <c r="F123" s="67" t="n">
        <f aca="false">($D$7)*2*(1)*$B$7*$C$7</f>
        <v>176160768</v>
      </c>
      <c r="G123" s="67" t="n">
        <f aca="false">($D$7)*2*(1)*$B$7*$C$7</f>
        <v>176160768</v>
      </c>
      <c r="H123" s="67" t="n">
        <f aca="false">($D$7)*2*(1)*$B$7*$C$7</f>
        <v>176160768</v>
      </c>
      <c r="I123" s="2"/>
    </row>
    <row r="124" customFormat="false" ht="17.15" hidden="false" customHeight="false" outlineLevel="0" collapsed="false">
      <c r="A124" s="30" t="s">
        <v>288</v>
      </c>
      <c r="B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45531136</v>
      </c>
      <c r="C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45531136</v>
      </c>
      <c r="D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45531136</v>
      </c>
      <c r="E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45531136</v>
      </c>
      <c r="F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45531136</v>
      </c>
      <c r="G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45531136</v>
      </c>
      <c r="H124" s="67" t="n">
        <f aca="false">($D$7)*MIN(($B$7*$C$7*$H$7)*MAX(1,ROUNDUP(((1)*$B$7*설정!$B$57)/설정!$B$61,0))+((1)*$B$7*설정!$B$57)+((1)*$C$7*설정!$B$57),($B$7*$C$7*$H$7)+((1)*$B$7*설정!$B$57)*MAX(1,ROUNDUP(($B$7*$C$7*$H$7)/설정!$B$61,0))+((1)*$C$7*설정!$B$57))</f>
        <v>45531136</v>
      </c>
      <c r="I124" s="2"/>
    </row>
    <row r="125" customFormat="false" ht="17.15" hidden="false" customHeight="false" outlineLevel="0" collapsed="false">
      <c r="A125" s="30" t="s">
        <v>289</v>
      </c>
      <c r="B125" s="68" t="n">
        <f aca="false">MAX(B123/$I$7,B124/설정!$B$60)*1000</f>
        <v>0.89276737254902</v>
      </c>
      <c r="C125" s="68" t="n">
        <f aca="false">MAX(C123/$I$7,C124/설정!$B$60)*1000</f>
        <v>0.89276737254902</v>
      </c>
      <c r="D125" s="68" t="n">
        <f aca="false">MAX(D123/$I$7,D124/설정!$B$60)*1000</f>
        <v>0.89276737254902</v>
      </c>
      <c r="E125" s="68" t="n">
        <f aca="false">MAX(E123/$I$7,E124/설정!$B$60)*1000</f>
        <v>0.89276737254902</v>
      </c>
      <c r="F125" s="68" t="n">
        <f aca="false">MAX(F123/$I$7,F124/설정!$B$60)*1000</f>
        <v>0.89276737254902</v>
      </c>
      <c r="G125" s="68" t="n">
        <f aca="false">MAX(G123/$I$7,G124/설정!$B$60)*1000</f>
        <v>0.89276737254902</v>
      </c>
      <c r="H125" s="68" t="n">
        <f aca="false">MAX(H123/$I$7,H124/설정!$B$60)*1000</f>
        <v>0.89276737254902</v>
      </c>
      <c r="I125" s="2"/>
    </row>
    <row r="126" customFormat="false" ht="17.15" hidden="false" customHeight="false" outlineLevel="0" collapsed="false">
      <c r="A126" s="30" t="s">
        <v>290</v>
      </c>
      <c r="B126" s="67" t="n">
        <f aca="false">($D$8)*2*(1)*$B$8*$C$8</f>
        <v>528482304</v>
      </c>
      <c r="C126" s="67" t="n">
        <f aca="false">($D$8)*2*(1)*$B$8*$C$8</f>
        <v>528482304</v>
      </c>
      <c r="D126" s="67" t="n">
        <f aca="false">($D$8)*2*(1)*$B$8*$C$8</f>
        <v>528482304</v>
      </c>
      <c r="E126" s="67" t="n">
        <f aca="false">($D$8)*2*(1)*$B$8*$C$8</f>
        <v>528482304</v>
      </c>
      <c r="F126" s="67" t="n">
        <f aca="false">($D$8)*2*(1)*$B$8*$C$8</f>
        <v>528482304</v>
      </c>
      <c r="G126" s="67" t="n">
        <f aca="false">($D$8)*2*(1)*$B$8*$C$8</f>
        <v>528482304</v>
      </c>
      <c r="H126" s="67" t="n">
        <f aca="false">($D$8)*2*(1)*$B$8*$C$8</f>
        <v>528482304</v>
      </c>
      <c r="I126" s="2"/>
    </row>
    <row r="127" customFormat="false" ht="17.15" hidden="false" customHeight="false" outlineLevel="0" collapsed="false">
      <c r="A127" s="30" t="s">
        <v>291</v>
      </c>
      <c r="B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136421376</v>
      </c>
      <c r="C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136421376</v>
      </c>
      <c r="D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136421376</v>
      </c>
      <c r="E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136421376</v>
      </c>
      <c r="F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136421376</v>
      </c>
      <c r="G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136421376</v>
      </c>
      <c r="H127" s="67" t="n">
        <f aca="false">($D$8)*MIN(($B$8*$C$8*$H$8)*MAX(1,ROUNDUP(((1)*$B$8*설정!$B$57)/설정!$B$61,0))+((1)*$B$8*설정!$B$57)+((1)*$C$8*설정!$B$57),($B$8*$C$8*$H$8)+((1)*$B$8*설정!$B$57)*MAX(1,ROUNDUP(($B$8*$C$8*$H$8)/설정!$B$61,0))+((1)*$C$8*설정!$B$57))</f>
        <v>136421376</v>
      </c>
      <c r="I127" s="2"/>
    </row>
    <row r="128" customFormat="false" ht="17.15" hidden="false" customHeight="false" outlineLevel="0" collapsed="false">
      <c r="A128" s="30" t="s">
        <v>292</v>
      </c>
      <c r="B128" s="68" t="n">
        <f aca="false">MAX(B126/$I$8,B127/설정!$B$60)*1000</f>
        <v>2.67492894117647</v>
      </c>
      <c r="C128" s="68" t="n">
        <f aca="false">MAX(C126/$I$8,C127/설정!$B$60)*1000</f>
        <v>2.67492894117647</v>
      </c>
      <c r="D128" s="68" t="n">
        <f aca="false">MAX(D126/$I$8,D127/설정!$B$60)*1000</f>
        <v>2.67492894117647</v>
      </c>
      <c r="E128" s="68" t="n">
        <f aca="false">MAX(E126/$I$8,E127/설정!$B$60)*1000</f>
        <v>2.67492894117647</v>
      </c>
      <c r="F128" s="68" t="n">
        <f aca="false">MAX(F126/$I$8,F127/설정!$B$60)*1000</f>
        <v>2.67492894117647</v>
      </c>
      <c r="G128" s="68" t="n">
        <f aca="false">MAX(G126/$I$8,G127/설정!$B$60)*1000</f>
        <v>2.67492894117647</v>
      </c>
      <c r="H128" s="68" t="n">
        <f aca="false">MAX(H126/$I$8,H127/설정!$B$60)*1000</f>
        <v>2.67492894117647</v>
      </c>
      <c r="I128" s="2"/>
    </row>
    <row r="129" customFormat="false" ht="17.15" hidden="false" customHeight="false" outlineLevel="0" collapsed="false">
      <c r="A129" s="30" t="s">
        <v>293</v>
      </c>
      <c r="B129" s="67" t="n">
        <f aca="false">($D$9)*2*(1)*$B$9*$C$9</f>
        <v>0</v>
      </c>
      <c r="C129" s="67" t="n">
        <f aca="false">($D$9)*2*(1)*$B$9*$C$9</f>
        <v>0</v>
      </c>
      <c r="D129" s="67" t="n">
        <f aca="false">($D$9)*2*(1)*$B$9*$C$9</f>
        <v>0</v>
      </c>
      <c r="E129" s="67" t="n">
        <f aca="false">($D$9)*2*(1)*$B$9*$C$9</f>
        <v>0</v>
      </c>
      <c r="F129" s="67" t="n">
        <f aca="false">($D$9)*2*(1)*$B$9*$C$9</f>
        <v>0</v>
      </c>
      <c r="G129" s="67" t="n">
        <f aca="false">($D$9)*2*(1)*$B$9*$C$9</f>
        <v>0</v>
      </c>
      <c r="H129" s="67" t="n">
        <f aca="false">($D$9)*2*(1)*$B$9*$C$9</f>
        <v>0</v>
      </c>
      <c r="I129" s="2"/>
    </row>
    <row r="130" customFormat="false" ht="17.15" hidden="false" customHeight="false" outlineLevel="0" collapsed="false">
      <c r="A130" s="30" t="s">
        <v>294</v>
      </c>
      <c r="B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C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D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E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F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G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H130" s="67" t="n">
        <f aca="false">($D$9)*MIN(($B$9*$C$9*$H$9)*MAX(1,ROUNDUP(((1)*$B$9*설정!$B$57)/설정!$B$61,0))+((1)*$B$9*설정!$B$57)+((1)*$C$9*설정!$B$57),($B$9*$C$9*$H$9)+((1)*$B$9*설정!$B$57)*MAX(1,ROUNDUP(($B$9*$C$9*$H$9)/설정!$B$61,0))+((1)*$C$9*설정!$B$57))</f>
        <v>0</v>
      </c>
      <c r="I130" s="2"/>
    </row>
    <row r="131" customFormat="false" ht="17.15" hidden="false" customHeight="false" outlineLevel="0" collapsed="false">
      <c r="A131" s="30" t="s">
        <v>295</v>
      </c>
      <c r="B131" s="68" t="n">
        <f aca="false">MAX(B129/$I$9,B130/설정!$B$60)*1000</f>
        <v>0</v>
      </c>
      <c r="C131" s="68" t="n">
        <f aca="false">MAX(C129/$I$9,C130/설정!$B$60)*1000</f>
        <v>0</v>
      </c>
      <c r="D131" s="68" t="n">
        <f aca="false">MAX(D129/$I$9,D130/설정!$B$60)*1000</f>
        <v>0</v>
      </c>
      <c r="E131" s="68" t="n">
        <f aca="false">MAX(E129/$I$9,E130/설정!$B$60)*1000</f>
        <v>0</v>
      </c>
      <c r="F131" s="68" t="n">
        <f aca="false">MAX(F129/$I$9,F130/설정!$B$60)*1000</f>
        <v>0</v>
      </c>
      <c r="G131" s="68" t="n">
        <f aca="false">MAX(G129/$I$9,G130/설정!$B$60)*1000</f>
        <v>0</v>
      </c>
      <c r="H131" s="68" t="n">
        <f aca="false">MAX(H129/$I$9,H130/설정!$B$60)*1000</f>
        <v>0</v>
      </c>
      <c r="I131" s="2"/>
    </row>
    <row r="132" customFormat="false" ht="17.15" hidden="false" customHeight="false" outlineLevel="0" collapsed="false">
      <c r="A132" s="30" t="s">
        <v>296</v>
      </c>
      <c r="B132" s="67" t="n">
        <f aca="false">($D$10)*2*(1)*$B$10*$C$10</f>
        <v>0</v>
      </c>
      <c r="C132" s="67" t="n">
        <f aca="false">($D$10)*2*(1)*$B$10*$C$10</f>
        <v>0</v>
      </c>
      <c r="D132" s="67" t="n">
        <f aca="false">($D$10)*2*(1)*$B$10*$C$10</f>
        <v>0</v>
      </c>
      <c r="E132" s="67" t="n">
        <f aca="false">($D$10)*2*(1)*$B$10*$C$10</f>
        <v>0</v>
      </c>
      <c r="F132" s="67" t="n">
        <f aca="false">($D$10)*2*(1)*$B$10*$C$10</f>
        <v>0</v>
      </c>
      <c r="G132" s="67" t="n">
        <f aca="false">($D$10)*2*(1)*$B$10*$C$10</f>
        <v>0</v>
      </c>
      <c r="H132" s="67" t="n">
        <f aca="false">($D$10)*2*(1)*$B$10*$C$10</f>
        <v>0</v>
      </c>
      <c r="I132" s="2"/>
    </row>
    <row r="133" customFormat="false" ht="17.15" hidden="false" customHeight="false" outlineLevel="0" collapsed="false">
      <c r="A133" s="30" t="s">
        <v>297</v>
      </c>
      <c r="B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C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D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E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F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G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H133" s="67" t="n">
        <f aca="false">($D$10)*MIN(($B$10*$C$10*$H$10)*MAX(1,ROUNDUP(((1)*$B$10*설정!$B$57)/설정!$B$61,0))+((1)*$B$10*설정!$B$57)+((1)*$C$10*설정!$B$57),($B$10*$C$10*$H$10)+((1)*$B$10*설정!$B$57)*MAX(1,ROUNDUP(($B$10*$C$10*$H$10)/설정!$B$61,0))+((1)*$C$10*설정!$B$57))</f>
        <v>0</v>
      </c>
      <c r="I133" s="2"/>
    </row>
    <row r="134" customFormat="false" ht="17.15" hidden="false" customHeight="false" outlineLevel="0" collapsed="false">
      <c r="A134" s="30" t="s">
        <v>298</v>
      </c>
      <c r="B134" s="68" t="n">
        <f aca="false">MAX(B132/$I$10,B133/설정!$B$60)*1000</f>
        <v>0</v>
      </c>
      <c r="C134" s="68" t="n">
        <f aca="false">MAX(C132/$I$10,C133/설정!$B$60)*1000</f>
        <v>0</v>
      </c>
      <c r="D134" s="68" t="n">
        <f aca="false">MAX(D132/$I$10,D133/설정!$B$60)*1000</f>
        <v>0</v>
      </c>
      <c r="E134" s="68" t="n">
        <f aca="false">MAX(E132/$I$10,E133/설정!$B$60)*1000</f>
        <v>0</v>
      </c>
      <c r="F134" s="68" t="n">
        <f aca="false">MAX(F132/$I$10,F133/설정!$B$60)*1000</f>
        <v>0</v>
      </c>
      <c r="G134" s="68" t="n">
        <f aca="false">MAX(G132/$I$10,G133/설정!$B$60)*1000</f>
        <v>0</v>
      </c>
      <c r="H134" s="68" t="n">
        <f aca="false">MAX(H132/$I$10,H133/설정!$B$60)*1000</f>
        <v>0</v>
      </c>
      <c r="I134" s="2"/>
    </row>
    <row r="135" customFormat="false" ht="17.15" hidden="false" customHeight="false" outlineLevel="0" collapsed="false">
      <c r="A135" s="30" t="s">
        <v>299</v>
      </c>
      <c r="B135" s="67" t="n">
        <f aca="false">($D$11)*2*(1)*$B$11*$C$11</f>
        <v>0</v>
      </c>
      <c r="C135" s="67" t="n">
        <f aca="false">($D$11)*2*(1)*$B$11*$C$11</f>
        <v>0</v>
      </c>
      <c r="D135" s="67" t="n">
        <f aca="false">($D$11)*2*(1)*$B$11*$C$11</f>
        <v>0</v>
      </c>
      <c r="E135" s="67" t="n">
        <f aca="false">($D$11)*2*(1)*$B$11*$C$11</f>
        <v>0</v>
      </c>
      <c r="F135" s="67" t="n">
        <f aca="false">($D$11)*2*(1)*$B$11*$C$11</f>
        <v>0</v>
      </c>
      <c r="G135" s="67" t="n">
        <f aca="false">($D$11)*2*(1)*$B$11*$C$11</f>
        <v>0</v>
      </c>
      <c r="H135" s="67" t="n">
        <f aca="false">($D$11)*2*(1)*$B$11*$C$11</f>
        <v>0</v>
      </c>
      <c r="I135" s="2"/>
    </row>
    <row r="136" customFormat="false" ht="17.15" hidden="false" customHeight="false" outlineLevel="0" collapsed="false">
      <c r="A136" s="30" t="s">
        <v>300</v>
      </c>
      <c r="B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C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D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E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F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G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H136" s="67" t="n">
        <f aca="false">($D$11)*MIN(($B$11*$C$11*$H$11)*MAX(1,ROUNDUP(((1)*$B$11*설정!$B$57)/설정!$B$61,0))+((1)*$B$11*설정!$B$57)+((1)*$C$11*설정!$B$57),($B$11*$C$11*$H$11)+((1)*$B$11*설정!$B$57)*MAX(1,ROUNDUP(($B$11*$C$11*$H$11)/설정!$B$61,0))+((1)*$C$11*설정!$B$57))</f>
        <v>0</v>
      </c>
      <c r="I136" s="2"/>
    </row>
    <row r="137" customFormat="false" ht="17.15" hidden="false" customHeight="false" outlineLevel="0" collapsed="false">
      <c r="A137" s="30" t="s">
        <v>301</v>
      </c>
      <c r="B137" s="68" t="n">
        <f aca="false">MAX(B135/$I$11,B136/설정!$B$60)*1000</f>
        <v>0</v>
      </c>
      <c r="C137" s="68" t="n">
        <f aca="false">MAX(C135/$I$11,C136/설정!$B$60)*1000</f>
        <v>0</v>
      </c>
      <c r="D137" s="68" t="n">
        <f aca="false">MAX(D135/$I$11,D136/설정!$B$60)*1000</f>
        <v>0</v>
      </c>
      <c r="E137" s="68" t="n">
        <f aca="false">MAX(E135/$I$11,E136/설정!$B$60)*1000</f>
        <v>0</v>
      </c>
      <c r="F137" s="68" t="n">
        <f aca="false">MAX(F135/$I$11,F136/설정!$B$60)*1000</f>
        <v>0</v>
      </c>
      <c r="G137" s="68" t="n">
        <f aca="false">MAX(G135/$I$11,G136/설정!$B$60)*1000</f>
        <v>0</v>
      </c>
      <c r="H137" s="68" t="n">
        <f aca="false">MAX(H135/$I$11,H136/설정!$B$60)*1000</f>
        <v>0</v>
      </c>
      <c r="I137" s="2"/>
    </row>
    <row r="138" customFormat="false" ht="17.15" hidden="false" customHeight="false" outlineLevel="0" collapsed="false">
      <c r="A138" s="30" t="s">
        <v>302</v>
      </c>
      <c r="B138" s="67" t="n">
        <f aca="false">($D$12)*2*(1)*$B$12*$C$12</f>
        <v>0</v>
      </c>
      <c r="C138" s="67" t="n">
        <f aca="false">($D$12)*2*(1)*$B$12*$C$12</f>
        <v>0</v>
      </c>
      <c r="D138" s="67" t="n">
        <f aca="false">($D$12)*2*(1)*$B$12*$C$12</f>
        <v>0</v>
      </c>
      <c r="E138" s="67" t="n">
        <f aca="false">($D$12)*2*(1)*$B$12*$C$12</f>
        <v>0</v>
      </c>
      <c r="F138" s="67" t="n">
        <f aca="false">($D$12)*2*(1)*$B$12*$C$12</f>
        <v>0</v>
      </c>
      <c r="G138" s="67" t="n">
        <f aca="false">($D$12)*2*(1)*$B$12*$C$12</f>
        <v>0</v>
      </c>
      <c r="H138" s="67" t="n">
        <f aca="false">($D$12)*2*(1)*$B$12*$C$12</f>
        <v>0</v>
      </c>
      <c r="I138" s="2"/>
    </row>
    <row r="139" customFormat="false" ht="17.15" hidden="false" customHeight="false" outlineLevel="0" collapsed="false">
      <c r="A139" s="30" t="s">
        <v>303</v>
      </c>
      <c r="B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C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D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E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F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G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H139" s="67" t="n">
        <f aca="false">($D$12)*MIN(($B$12*$C$12*$H$12)*MAX(1,ROUNDUP(((1)*$B$12*설정!$B$57)/설정!$B$61,0))+((1)*$B$12*설정!$B$57)+((1)*$C$12*설정!$B$57),($B$12*$C$12*$H$12)+((1)*$B$12*설정!$B$57)*MAX(1,ROUNDUP(($B$12*$C$12*$H$12)/설정!$B$61,0))+((1)*$C$12*설정!$B$57))</f>
        <v>0</v>
      </c>
      <c r="I139" s="2"/>
    </row>
    <row r="140" customFormat="false" ht="17.15" hidden="false" customHeight="false" outlineLevel="0" collapsed="false">
      <c r="A140" s="30" t="s">
        <v>304</v>
      </c>
      <c r="B140" s="68" t="n">
        <f aca="false">MAX(B138/$I$12,B139/설정!$B$60)*1000</f>
        <v>0</v>
      </c>
      <c r="C140" s="68" t="n">
        <f aca="false">MAX(C138/$I$12,C139/설정!$B$60)*1000</f>
        <v>0</v>
      </c>
      <c r="D140" s="68" t="n">
        <f aca="false">MAX(D138/$I$12,D139/설정!$B$60)*1000</f>
        <v>0</v>
      </c>
      <c r="E140" s="68" t="n">
        <f aca="false">MAX(E138/$I$12,E139/설정!$B$60)*1000</f>
        <v>0</v>
      </c>
      <c r="F140" s="68" t="n">
        <f aca="false">MAX(F138/$I$12,F139/설정!$B$60)*1000</f>
        <v>0</v>
      </c>
      <c r="G140" s="68" t="n">
        <f aca="false">MAX(G138/$I$12,G139/설정!$B$60)*1000</f>
        <v>0</v>
      </c>
      <c r="H140" s="68" t="n">
        <f aca="false">MAX(H138/$I$12,H139/설정!$B$60)*1000</f>
        <v>0</v>
      </c>
      <c r="I140" s="2"/>
    </row>
    <row r="141" customFormat="false" ht="17.15" hidden="false" customHeight="false" outlineLevel="0" collapsed="false">
      <c r="A141" s="30" t="s">
        <v>305</v>
      </c>
      <c r="B141" s="67" t="n">
        <f aca="false">($D$13)*2*(1)*$B$13*$C$13</f>
        <v>0</v>
      </c>
      <c r="C141" s="67" t="n">
        <f aca="false">($D$13)*2*(1)*$B$13*$C$13</f>
        <v>0</v>
      </c>
      <c r="D141" s="67" t="n">
        <f aca="false">($D$13)*2*(1)*$B$13*$C$13</f>
        <v>0</v>
      </c>
      <c r="E141" s="67" t="n">
        <f aca="false">($D$13)*2*(1)*$B$13*$C$13</f>
        <v>0</v>
      </c>
      <c r="F141" s="67" t="n">
        <f aca="false">($D$13)*2*(1)*$B$13*$C$13</f>
        <v>0</v>
      </c>
      <c r="G141" s="67" t="n">
        <f aca="false">($D$13)*2*(1)*$B$13*$C$13</f>
        <v>0</v>
      </c>
      <c r="H141" s="67" t="n">
        <f aca="false">($D$13)*2*(1)*$B$13*$C$13</f>
        <v>0</v>
      </c>
      <c r="I141" s="2"/>
    </row>
    <row r="142" customFormat="false" ht="17.15" hidden="false" customHeight="false" outlineLevel="0" collapsed="false">
      <c r="A142" s="30" t="s">
        <v>306</v>
      </c>
      <c r="B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C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D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E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F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G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H142" s="67" t="n">
        <f aca="false">($D$13)*MIN(($B$13*$C$13*$H$13)*MAX(1,ROUNDUP(((1)*$B$13*설정!$B$57)/설정!$B$61,0))+((1)*$B$13*설정!$B$57)+((1)*$C$13*설정!$B$57),($B$13*$C$13*$H$13)+((1)*$B$13*설정!$B$57)*MAX(1,ROUNDUP(($B$13*$C$13*$H$13)/설정!$B$61,0))+((1)*$C$13*설정!$B$57))</f>
        <v>0</v>
      </c>
      <c r="I142" s="2"/>
    </row>
    <row r="143" customFormat="false" ht="17.15" hidden="false" customHeight="false" outlineLevel="0" collapsed="false">
      <c r="A143" s="30" t="s">
        <v>307</v>
      </c>
      <c r="B143" s="68" t="n">
        <f aca="false">MAX(B141/$I$13,B142/설정!$B$60)*1000</f>
        <v>0</v>
      </c>
      <c r="C143" s="68" t="n">
        <f aca="false">MAX(C141/$I$13,C142/설정!$B$60)*1000</f>
        <v>0</v>
      </c>
      <c r="D143" s="68" t="n">
        <f aca="false">MAX(D141/$I$13,D142/설정!$B$60)*1000</f>
        <v>0</v>
      </c>
      <c r="E143" s="68" t="n">
        <f aca="false">MAX(E141/$I$13,E142/설정!$B$60)*1000</f>
        <v>0</v>
      </c>
      <c r="F143" s="68" t="n">
        <f aca="false">MAX(F141/$I$13,F142/설정!$B$60)*1000</f>
        <v>0</v>
      </c>
      <c r="G143" s="68" t="n">
        <f aca="false">MAX(G141/$I$13,G142/설정!$B$60)*1000</f>
        <v>0</v>
      </c>
      <c r="H143" s="68" t="n">
        <f aca="false">MAX(H141/$I$13,H142/설정!$B$60)*1000</f>
        <v>0</v>
      </c>
      <c r="I143" s="2"/>
    </row>
    <row r="144" customFormat="false" ht="17.15" hidden="false" customHeight="false" outlineLevel="0" collapsed="false">
      <c r="A144" s="30" t="s">
        <v>308</v>
      </c>
      <c r="B144" s="67" t="n">
        <f aca="false">($D$14)*2*(1)*$B$14*$C$14</f>
        <v>0</v>
      </c>
      <c r="C144" s="67" t="n">
        <f aca="false">($D$14)*2*(1)*$B$14*$C$14</f>
        <v>0</v>
      </c>
      <c r="D144" s="67" t="n">
        <f aca="false">($D$14)*2*(1)*$B$14*$C$14</f>
        <v>0</v>
      </c>
      <c r="E144" s="67" t="n">
        <f aca="false">($D$14)*2*(1)*$B$14*$C$14</f>
        <v>0</v>
      </c>
      <c r="F144" s="67" t="n">
        <f aca="false">($D$14)*2*(1)*$B$14*$C$14</f>
        <v>0</v>
      </c>
      <c r="G144" s="67" t="n">
        <f aca="false">($D$14)*2*(1)*$B$14*$C$14</f>
        <v>0</v>
      </c>
      <c r="H144" s="67" t="n">
        <f aca="false">($D$14)*2*(1)*$B$14*$C$14</f>
        <v>0</v>
      </c>
      <c r="I144" s="2"/>
    </row>
    <row r="145" customFormat="false" ht="17.15" hidden="false" customHeight="false" outlineLevel="0" collapsed="false">
      <c r="A145" s="30" t="s">
        <v>309</v>
      </c>
      <c r="B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C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D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E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F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G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H145" s="67" t="n">
        <f aca="false">($D$14)*MIN(($B$14*$C$14*$H$14)*MAX(1,ROUNDUP(((1)*$B$14*설정!$B$57)/설정!$B$61,0))+((1)*$B$14*설정!$B$57)+((1)*$C$14*설정!$B$57),($B$14*$C$14*$H$14)+((1)*$B$14*설정!$B$57)*MAX(1,ROUNDUP(($B$14*$C$14*$H$14)/설정!$B$61,0))+((1)*$C$14*설정!$B$57))</f>
        <v>0</v>
      </c>
      <c r="I145" s="2"/>
    </row>
    <row r="146" customFormat="false" ht="17.15" hidden="false" customHeight="false" outlineLevel="0" collapsed="false">
      <c r="A146" s="30" t="s">
        <v>310</v>
      </c>
      <c r="B146" s="68" t="n">
        <f aca="false">MAX(B144/$I$14,B145/설정!$B$60)*1000</f>
        <v>0</v>
      </c>
      <c r="C146" s="68" t="n">
        <f aca="false">MAX(C144/$I$14,C145/설정!$B$60)*1000</f>
        <v>0</v>
      </c>
      <c r="D146" s="68" t="n">
        <f aca="false">MAX(D144/$I$14,D145/설정!$B$60)*1000</f>
        <v>0</v>
      </c>
      <c r="E146" s="68" t="n">
        <f aca="false">MAX(E144/$I$14,E145/설정!$B$60)*1000</f>
        <v>0</v>
      </c>
      <c r="F146" s="68" t="n">
        <f aca="false">MAX(F144/$I$14,F145/설정!$B$60)*1000</f>
        <v>0</v>
      </c>
      <c r="G146" s="68" t="n">
        <f aca="false">MAX(G144/$I$14,G145/설정!$B$60)*1000</f>
        <v>0</v>
      </c>
      <c r="H146" s="68" t="n">
        <f aca="false">MAX(H144/$I$14,H145/설정!$B$60)*1000</f>
        <v>0</v>
      </c>
      <c r="I146" s="2"/>
    </row>
    <row r="147" customFormat="false" ht="17.15" hidden="false" customHeight="false" outlineLevel="0" collapsed="false">
      <c r="A147" s="30" t="s">
        <v>311</v>
      </c>
      <c r="B147" s="67" t="n">
        <f aca="false">($D$15)*2*(1)*$B$15*$C$15</f>
        <v>0</v>
      </c>
      <c r="C147" s="67" t="n">
        <f aca="false">($D$15)*2*(1)*$B$15*$C$15</f>
        <v>0</v>
      </c>
      <c r="D147" s="67" t="n">
        <f aca="false">($D$15)*2*(1)*$B$15*$C$15</f>
        <v>0</v>
      </c>
      <c r="E147" s="67" t="n">
        <f aca="false">($D$15)*2*(1)*$B$15*$C$15</f>
        <v>0</v>
      </c>
      <c r="F147" s="67" t="n">
        <f aca="false">($D$15)*2*(1)*$B$15*$C$15</f>
        <v>0</v>
      </c>
      <c r="G147" s="67" t="n">
        <f aca="false">($D$15)*2*(1)*$B$15*$C$15</f>
        <v>0</v>
      </c>
      <c r="H147" s="67" t="n">
        <f aca="false">($D$15)*2*(1)*$B$15*$C$15</f>
        <v>0</v>
      </c>
      <c r="I147" s="2"/>
    </row>
    <row r="148" customFormat="false" ht="17.15" hidden="false" customHeight="false" outlineLevel="0" collapsed="false">
      <c r="A148" s="30" t="s">
        <v>312</v>
      </c>
      <c r="B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C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D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E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F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G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H148" s="67" t="n">
        <f aca="false">($D$15)*MIN(($B$15*$C$15*$H$15)*MAX(1,ROUNDUP(((1)*$B$15*설정!$B$57)/설정!$B$61,0))+((1)*$B$15*설정!$B$57)+((1)*$C$15*설정!$B$57),($B$15*$C$15*$H$15)+((1)*$B$15*설정!$B$57)*MAX(1,ROUNDUP(($B$15*$C$15*$H$15)/설정!$B$61,0))+((1)*$C$15*설정!$B$57))</f>
        <v>0</v>
      </c>
      <c r="I148" s="2"/>
    </row>
    <row r="149" customFormat="false" ht="17.15" hidden="false" customHeight="false" outlineLevel="0" collapsed="false">
      <c r="A149" s="30" t="s">
        <v>313</v>
      </c>
      <c r="B149" s="68" t="n">
        <f aca="false">MAX(B147/$I$15,B148/설정!$B$60)*1000</f>
        <v>0</v>
      </c>
      <c r="C149" s="68" t="n">
        <f aca="false">MAX(C147/$I$15,C148/설정!$B$60)*1000</f>
        <v>0</v>
      </c>
      <c r="D149" s="68" t="n">
        <f aca="false">MAX(D147/$I$15,D148/설정!$B$60)*1000</f>
        <v>0</v>
      </c>
      <c r="E149" s="68" t="n">
        <f aca="false">MAX(E147/$I$15,E148/설정!$B$60)*1000</f>
        <v>0</v>
      </c>
      <c r="F149" s="68" t="n">
        <f aca="false">MAX(F147/$I$15,F148/설정!$B$60)*1000</f>
        <v>0</v>
      </c>
      <c r="G149" s="68" t="n">
        <f aca="false">MAX(G147/$I$15,G148/설정!$B$60)*1000</f>
        <v>0</v>
      </c>
      <c r="H149" s="68" t="n">
        <f aca="false">MAX(H147/$I$15,H148/설정!$B$60)*1000</f>
        <v>0</v>
      </c>
      <c r="I149" s="2"/>
    </row>
    <row r="150" customFormat="false" ht="17.15" hidden="false" customHeight="false" outlineLevel="0" collapsed="false">
      <c r="A150" s="30" t="s">
        <v>314</v>
      </c>
      <c r="B150" s="67" t="n">
        <f aca="false">($D$16)*2*(1)*$B$16*$C$16</f>
        <v>0</v>
      </c>
      <c r="C150" s="67" t="n">
        <f aca="false">($D$16)*2*(1)*$B$16*$C$16</f>
        <v>0</v>
      </c>
      <c r="D150" s="67" t="n">
        <f aca="false">($D$16)*2*(1)*$B$16*$C$16</f>
        <v>0</v>
      </c>
      <c r="E150" s="67" t="n">
        <f aca="false">($D$16)*2*(1)*$B$16*$C$16</f>
        <v>0</v>
      </c>
      <c r="F150" s="67" t="n">
        <f aca="false">($D$16)*2*(1)*$B$16*$C$16</f>
        <v>0</v>
      </c>
      <c r="G150" s="67" t="n">
        <f aca="false">($D$16)*2*(1)*$B$16*$C$16</f>
        <v>0</v>
      </c>
      <c r="H150" s="67" t="n">
        <f aca="false">($D$16)*2*(1)*$B$16*$C$16</f>
        <v>0</v>
      </c>
      <c r="I150" s="2"/>
    </row>
    <row r="151" customFormat="false" ht="17.15" hidden="false" customHeight="false" outlineLevel="0" collapsed="false">
      <c r="A151" s="30" t="s">
        <v>315</v>
      </c>
      <c r="B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C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D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E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F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G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H151" s="67" t="n">
        <f aca="false">($D$16)*MIN(($B$16*$C$16*$H$16)*MAX(1,ROUNDUP(((1)*$B$16*설정!$B$57)/설정!$B$61,0))+((1)*$B$16*설정!$B$57)+((1)*$C$16*설정!$B$57),($B$16*$C$16*$H$16)+((1)*$B$16*설정!$B$57)*MAX(1,ROUNDUP(($B$16*$C$16*$H$16)/설정!$B$61,0))+((1)*$C$16*설정!$B$57))</f>
        <v>0</v>
      </c>
      <c r="I151" s="2"/>
    </row>
    <row r="152" customFormat="false" ht="17.15" hidden="false" customHeight="false" outlineLevel="0" collapsed="false">
      <c r="A152" s="30" t="s">
        <v>316</v>
      </c>
      <c r="B152" s="68" t="n">
        <f aca="false">MAX(B150/$I$16,B151/설정!$B$60)*1000</f>
        <v>0</v>
      </c>
      <c r="C152" s="68" t="n">
        <f aca="false">MAX(C150/$I$16,C151/설정!$B$60)*1000</f>
        <v>0</v>
      </c>
      <c r="D152" s="68" t="n">
        <f aca="false">MAX(D150/$I$16,D151/설정!$B$60)*1000</f>
        <v>0</v>
      </c>
      <c r="E152" s="68" t="n">
        <f aca="false">MAX(E150/$I$16,E151/설정!$B$60)*1000</f>
        <v>0</v>
      </c>
      <c r="F152" s="68" t="n">
        <f aca="false">MAX(F150/$I$16,F151/설정!$B$60)*1000</f>
        <v>0</v>
      </c>
      <c r="G152" s="68" t="n">
        <f aca="false">MAX(G150/$I$16,G151/설정!$B$60)*1000</f>
        <v>0</v>
      </c>
      <c r="H152" s="68" t="n">
        <f aca="false">MAX(H150/$I$16,H151/설정!$B$60)*1000</f>
        <v>0</v>
      </c>
      <c r="I152" s="2"/>
    </row>
    <row r="153" customFormat="false" ht="17.15" hidden="false" customHeight="false" outlineLevel="0" collapsed="false">
      <c r="A153" s="30" t="s">
        <v>317</v>
      </c>
      <c r="B153" s="67" t="n">
        <f aca="false">($D$17)*2*(1)*$B$17*$C$17</f>
        <v>0</v>
      </c>
      <c r="C153" s="67" t="n">
        <f aca="false">($D$17)*2*(1)*$B$17*$C$17</f>
        <v>0</v>
      </c>
      <c r="D153" s="67" t="n">
        <f aca="false">($D$17)*2*(1)*$B$17*$C$17</f>
        <v>0</v>
      </c>
      <c r="E153" s="67" t="n">
        <f aca="false">($D$17)*2*(1)*$B$17*$C$17</f>
        <v>0</v>
      </c>
      <c r="F153" s="67" t="n">
        <f aca="false">($D$17)*2*(1)*$B$17*$C$17</f>
        <v>0</v>
      </c>
      <c r="G153" s="67" t="n">
        <f aca="false">($D$17)*2*(1)*$B$17*$C$17</f>
        <v>0</v>
      </c>
      <c r="H153" s="67" t="n">
        <f aca="false">($D$17)*2*(1)*$B$17*$C$17</f>
        <v>0</v>
      </c>
      <c r="I153" s="2"/>
    </row>
    <row r="154" customFormat="false" ht="17.15" hidden="false" customHeight="false" outlineLevel="0" collapsed="false">
      <c r="A154" s="30" t="s">
        <v>318</v>
      </c>
      <c r="B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C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D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E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F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G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H154" s="67" t="n">
        <f aca="false">($D$17)*MIN(($B$17*$C$17*$H$17)*MAX(1,ROUNDUP(((1)*$B$17*설정!$B$57)/설정!$B$61,0))+((1)*$B$17*설정!$B$57)+((1)*$C$17*설정!$B$57),($B$17*$C$17*$H$17)+((1)*$B$17*설정!$B$57)*MAX(1,ROUNDUP(($B$17*$C$17*$H$17)/설정!$B$61,0))+((1)*$C$17*설정!$B$57))</f>
        <v>0</v>
      </c>
      <c r="I154" s="2"/>
    </row>
    <row r="155" customFormat="false" ht="17.15" hidden="false" customHeight="false" outlineLevel="0" collapsed="false">
      <c r="A155" s="30" t="s">
        <v>319</v>
      </c>
      <c r="B155" s="68" t="n">
        <f aca="false">MAX(B153/$I$17,B154/설정!$B$60)*1000</f>
        <v>0</v>
      </c>
      <c r="C155" s="68" t="n">
        <f aca="false">MAX(C153/$I$17,C154/설정!$B$60)*1000</f>
        <v>0</v>
      </c>
      <c r="D155" s="68" t="n">
        <f aca="false">MAX(D153/$I$17,D154/설정!$B$60)*1000</f>
        <v>0</v>
      </c>
      <c r="E155" s="68" t="n">
        <f aca="false">MAX(E153/$I$17,E154/설정!$B$60)*1000</f>
        <v>0</v>
      </c>
      <c r="F155" s="68" t="n">
        <f aca="false">MAX(F153/$I$17,F154/설정!$B$60)*1000</f>
        <v>0</v>
      </c>
      <c r="G155" s="68" t="n">
        <f aca="false">MAX(G153/$I$17,G154/설정!$B$60)*1000</f>
        <v>0</v>
      </c>
      <c r="H155" s="68" t="n">
        <f aca="false">MAX(H153/$I$17,H154/설정!$B$60)*1000</f>
        <v>0</v>
      </c>
      <c r="I155" s="2"/>
    </row>
    <row r="156" customFormat="false" ht="17.15" hidden="false" customHeight="false" outlineLevel="0" collapsed="false">
      <c r="A156" s="30" t="s">
        <v>320</v>
      </c>
      <c r="B156" s="67" t="n">
        <f aca="false">($D$18)*2*(1)*$B$18*$C$18</f>
        <v>1409286144</v>
      </c>
      <c r="C156" s="67" t="n">
        <f aca="false">($D$18)*2*(1)*$B$18*$C$18</f>
        <v>1409286144</v>
      </c>
      <c r="D156" s="67" t="n">
        <f aca="false">($D$18)*2*(1)*$B$18*$C$18</f>
        <v>1409286144</v>
      </c>
      <c r="E156" s="67" t="n">
        <f aca="false">($D$18)*2*(1)*$B$18*$C$18</f>
        <v>1409286144</v>
      </c>
      <c r="F156" s="67" t="n">
        <f aca="false">($D$18)*2*(1)*$B$18*$C$18</f>
        <v>1409286144</v>
      </c>
      <c r="G156" s="67" t="n">
        <f aca="false">($D$18)*2*(1)*$B$18*$C$18</f>
        <v>1409286144</v>
      </c>
      <c r="H156" s="67" t="n">
        <f aca="false">($D$18)*2*(1)*$B$18*$C$18</f>
        <v>1409286144</v>
      </c>
      <c r="I156" s="2"/>
    </row>
    <row r="157" customFormat="false" ht="17.15" hidden="false" customHeight="false" outlineLevel="0" collapsed="false">
      <c r="A157" s="30" t="s">
        <v>321</v>
      </c>
      <c r="B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363646976</v>
      </c>
      <c r="C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363646976</v>
      </c>
      <c r="D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363646976</v>
      </c>
      <c r="E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363646976</v>
      </c>
      <c r="F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363646976</v>
      </c>
      <c r="G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363646976</v>
      </c>
      <c r="H157" s="67" t="n">
        <f aca="false">($D$18)*MIN(($B$18*$C$18*$H$18)*MAX(1,ROUNDUP(((1)*$B$18*설정!$B$57)/설정!$B$61,0))+((1)*$B$18*설정!$B$57)+((1)*$C$18*설정!$B$57),($B$18*$C$18*$H$18)+((1)*$B$18*설정!$B$57)*MAX(1,ROUNDUP(($B$18*$C$18*$H$18)/설정!$B$61,0))+((1)*$C$18*설정!$B$57))</f>
        <v>363646976</v>
      </c>
      <c r="I157" s="2"/>
    </row>
    <row r="158" customFormat="false" ht="17.15" hidden="false" customHeight="false" outlineLevel="0" collapsed="false">
      <c r="A158" s="30" t="s">
        <v>322</v>
      </c>
      <c r="B158" s="68" t="n">
        <f aca="false">MAX(B156/$I$18,B157/설정!$B$60)*1000</f>
        <v>7.1303328627451</v>
      </c>
      <c r="C158" s="68" t="n">
        <f aca="false">MAX(C156/$I$18,C157/설정!$B$60)*1000</f>
        <v>7.1303328627451</v>
      </c>
      <c r="D158" s="68" t="n">
        <f aca="false">MAX(D156/$I$18,D157/설정!$B$60)*1000</f>
        <v>7.1303328627451</v>
      </c>
      <c r="E158" s="68" t="n">
        <f aca="false">MAX(E156/$I$18,E157/설정!$B$60)*1000</f>
        <v>7.1303328627451</v>
      </c>
      <c r="F158" s="68" t="n">
        <f aca="false">MAX(F156/$I$18,F157/설정!$B$60)*1000</f>
        <v>7.1303328627451</v>
      </c>
      <c r="G158" s="68" t="n">
        <f aca="false">MAX(G156/$I$18,G157/설정!$B$60)*1000</f>
        <v>7.1303328627451</v>
      </c>
      <c r="H158" s="68" t="n">
        <f aca="false">MAX(H156/$I$18,H157/설정!$B$60)*1000</f>
        <v>7.1303328627451</v>
      </c>
      <c r="I158" s="2"/>
    </row>
    <row r="159" customFormat="false" ht="17.15" hidden="false" customHeight="false" outlineLevel="0" collapsed="false">
      <c r="A159" s="30" t="s">
        <v>323</v>
      </c>
      <c r="B159" s="67" t="n">
        <f aca="false">($D$19)*2*(1)*$B$19*$C$19</f>
        <v>1409286144</v>
      </c>
      <c r="C159" s="67" t="n">
        <f aca="false">($D$19)*2*(1)*$B$19*$C$19</f>
        <v>1409286144</v>
      </c>
      <c r="D159" s="67" t="n">
        <f aca="false">($D$19)*2*(1)*$B$19*$C$19</f>
        <v>1409286144</v>
      </c>
      <c r="E159" s="67" t="n">
        <f aca="false">($D$19)*2*(1)*$B$19*$C$19</f>
        <v>1409286144</v>
      </c>
      <c r="F159" s="67" t="n">
        <f aca="false">($D$19)*2*(1)*$B$19*$C$19</f>
        <v>1409286144</v>
      </c>
      <c r="G159" s="67" t="n">
        <f aca="false">($D$19)*2*(1)*$B$19*$C$19</f>
        <v>1409286144</v>
      </c>
      <c r="H159" s="67" t="n">
        <f aca="false">($D$19)*2*(1)*$B$19*$C$19</f>
        <v>1409286144</v>
      </c>
      <c r="I159" s="2"/>
    </row>
    <row r="160" customFormat="false" ht="17.15" hidden="false" customHeight="false" outlineLevel="0" collapsed="false">
      <c r="A160" s="30" t="s">
        <v>324</v>
      </c>
      <c r="B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363646976</v>
      </c>
      <c r="C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363646976</v>
      </c>
      <c r="D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363646976</v>
      </c>
      <c r="E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363646976</v>
      </c>
      <c r="F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363646976</v>
      </c>
      <c r="G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363646976</v>
      </c>
      <c r="H160" s="67" t="n">
        <f aca="false">($D$19)*MIN(($B$19*$C$19*$H$19)*MAX(1,ROUNDUP(((1)*$B$19*설정!$B$57)/설정!$B$61,0))+((1)*$B$19*설정!$B$57)+((1)*$C$19*설정!$B$57),($B$19*$C$19*$H$19)+((1)*$B$19*설정!$B$57)*MAX(1,ROUNDUP(($B$19*$C$19*$H$19)/설정!$B$61,0))+((1)*$C$19*설정!$B$57))</f>
        <v>363646976</v>
      </c>
      <c r="I160" s="2"/>
    </row>
    <row r="161" customFormat="false" ht="17.15" hidden="false" customHeight="false" outlineLevel="0" collapsed="false">
      <c r="A161" s="30" t="s">
        <v>325</v>
      </c>
      <c r="B161" s="68" t="n">
        <f aca="false">MAX(B159/$I$19,B160/설정!$B$60)*1000</f>
        <v>7.1303328627451</v>
      </c>
      <c r="C161" s="68" t="n">
        <f aca="false">MAX(C159/$I$19,C160/설정!$B$60)*1000</f>
        <v>7.1303328627451</v>
      </c>
      <c r="D161" s="68" t="n">
        <f aca="false">MAX(D159/$I$19,D160/설정!$B$60)*1000</f>
        <v>7.1303328627451</v>
      </c>
      <c r="E161" s="68" t="n">
        <f aca="false">MAX(E159/$I$19,E160/설정!$B$60)*1000</f>
        <v>7.1303328627451</v>
      </c>
      <c r="F161" s="68" t="n">
        <f aca="false">MAX(F159/$I$19,F160/설정!$B$60)*1000</f>
        <v>7.1303328627451</v>
      </c>
      <c r="G161" s="68" t="n">
        <f aca="false">MAX(G159/$I$19,G160/설정!$B$60)*1000</f>
        <v>7.1303328627451</v>
      </c>
      <c r="H161" s="68" t="n">
        <f aca="false">MAX(H159/$I$19,H160/설정!$B$60)*1000</f>
        <v>7.1303328627451</v>
      </c>
      <c r="I161" s="2"/>
    </row>
    <row r="162" customFormat="false" ht="17.15" hidden="false" customHeight="false" outlineLevel="0" collapsed="false">
      <c r="A162" s="30" t="s">
        <v>326</v>
      </c>
      <c r="B162" s="67" t="n">
        <f aca="false">($D$20)*2*(1)*$B$20*$C$20</f>
        <v>1409286144</v>
      </c>
      <c r="C162" s="67" t="n">
        <f aca="false">($D$20)*2*(1)*$B$20*$C$20</f>
        <v>1409286144</v>
      </c>
      <c r="D162" s="67" t="n">
        <f aca="false">($D$20)*2*(1)*$B$20*$C$20</f>
        <v>1409286144</v>
      </c>
      <c r="E162" s="67" t="n">
        <f aca="false">($D$20)*2*(1)*$B$20*$C$20</f>
        <v>1409286144</v>
      </c>
      <c r="F162" s="67" t="n">
        <f aca="false">($D$20)*2*(1)*$B$20*$C$20</f>
        <v>1409286144</v>
      </c>
      <c r="G162" s="67" t="n">
        <f aca="false">($D$20)*2*(1)*$B$20*$C$20</f>
        <v>1409286144</v>
      </c>
      <c r="H162" s="67" t="n">
        <f aca="false">($D$20)*2*(1)*$B$20*$C$20</f>
        <v>1409286144</v>
      </c>
      <c r="I162" s="2"/>
    </row>
    <row r="163" customFormat="false" ht="17.15" hidden="false" customHeight="false" outlineLevel="0" collapsed="false">
      <c r="A163" s="30" t="s">
        <v>327</v>
      </c>
      <c r="B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363646976</v>
      </c>
      <c r="C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363646976</v>
      </c>
      <c r="D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363646976</v>
      </c>
      <c r="E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363646976</v>
      </c>
      <c r="F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363646976</v>
      </c>
      <c r="G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363646976</v>
      </c>
      <c r="H163" s="67" t="n">
        <f aca="false">($D$20)*MIN(($B$20*$C$20*$H$20)*MAX(1,ROUNDUP(((1)*$B$20*설정!$B$57)/설정!$B$61,0))+((1)*$B$20*설정!$B$57)+((1)*$C$20*설정!$B$57),($B$20*$C$20*$H$20)+((1)*$B$20*설정!$B$57)*MAX(1,ROUNDUP(($B$20*$C$20*$H$20)/설정!$B$61,0))+((1)*$C$20*설정!$B$57))</f>
        <v>363646976</v>
      </c>
      <c r="I163" s="2"/>
    </row>
    <row r="164" customFormat="false" ht="17.15" hidden="false" customHeight="false" outlineLevel="0" collapsed="false">
      <c r="A164" s="30" t="s">
        <v>328</v>
      </c>
      <c r="B164" s="68" t="n">
        <f aca="false">MAX(B162/$I$20,B163/설정!$B$60)*1000</f>
        <v>7.1303328627451</v>
      </c>
      <c r="C164" s="68" t="n">
        <f aca="false">MAX(C162/$I$20,C163/설정!$B$60)*1000</f>
        <v>7.1303328627451</v>
      </c>
      <c r="D164" s="68" t="n">
        <f aca="false">MAX(D162/$I$20,D163/설정!$B$60)*1000</f>
        <v>7.1303328627451</v>
      </c>
      <c r="E164" s="68" t="n">
        <f aca="false">MAX(E162/$I$20,E163/설정!$B$60)*1000</f>
        <v>7.1303328627451</v>
      </c>
      <c r="F164" s="68" t="n">
        <f aca="false">MAX(F162/$I$20,F163/설정!$B$60)*1000</f>
        <v>7.1303328627451</v>
      </c>
      <c r="G164" s="68" t="n">
        <f aca="false">MAX(G162/$I$20,G163/설정!$B$60)*1000</f>
        <v>7.1303328627451</v>
      </c>
      <c r="H164" s="68" t="n">
        <f aca="false">MAX(H162/$I$20,H163/설정!$B$60)*1000</f>
        <v>7.1303328627451</v>
      </c>
      <c r="I164" s="2"/>
    </row>
    <row r="165" customFormat="false" ht="17.15" hidden="false" customHeight="false" outlineLevel="0" collapsed="false">
      <c r="A165" s="30" t="s">
        <v>329</v>
      </c>
      <c r="B165" s="67" t="n">
        <f aca="false">($D$21*모델!$F$37)*2*(1)*$B$21*$C$21</f>
        <v>0</v>
      </c>
      <c r="C165" s="67" t="n">
        <f aca="false">($D$21*모델!$F$37)*2*(1)*$B$21*$C$21</f>
        <v>0</v>
      </c>
      <c r="D165" s="67" t="n">
        <f aca="false">($D$21*모델!$F$37)*2*(1)*$B$21*$C$21</f>
        <v>0</v>
      </c>
      <c r="E165" s="67" t="n">
        <f aca="false">($D$21*모델!$F$37)*2*(1)*$B$21*$C$21</f>
        <v>0</v>
      </c>
      <c r="F165" s="67" t="n">
        <f aca="false">($D$21*모델!$F$37)*2*(1)*$B$21*$C$21</f>
        <v>0</v>
      </c>
      <c r="G165" s="67" t="n">
        <f aca="false">($D$21*모델!$F$37)*2*(1)*$B$21*$C$21</f>
        <v>0</v>
      </c>
      <c r="H165" s="67" t="n">
        <f aca="false">($D$21*모델!$F$37)*2*(1)*$B$21*$C$21</f>
        <v>0</v>
      </c>
      <c r="I165" s="2"/>
    </row>
    <row r="166" customFormat="false" ht="17.15" hidden="false" customHeight="false" outlineLevel="0" collapsed="false">
      <c r="A166" s="30" t="s">
        <v>330</v>
      </c>
      <c r="B166" s="67" t="n">
        <f aca="false">($D$21*모델!$F$37)*MIN(($B$21*$C$21*$H$21)*MAX(1,ROUNDUP(((1)*$B$21*설정!$B$57)/설정!$B$61,0))+((1)*$B$21*설정!$B$57)+((1)*$C$21*설정!$B$57),($B$21*$C$21*$H$21)+((1)*$B$21*설정!$B$57)*MAX(1,ROUNDUP(($B$21*$C$21*$H$21)/설정!$B$61,0))+((1)*$C$21*설정!$B$57))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C166" s="67" t="n">
        <f aca="false">($D$21*모델!$F$37)*MIN(($B$21*$C$21*$H$21)*MAX(1,ROUNDUP(((1)*$B$21*설정!$B$57)/설정!$B$61,0))+((1)*$B$21*설정!$B$57)+((1)*$C$21*설정!$B$57),($B$21*$C$21*$H$21)+((1)*$B$21*설정!$B$57)*MAX(1,ROUNDUP(($B$21*$C$21*$H$21)/설정!$B$61,0))+((1)*$C$21*설정!$B$57))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D166" s="67" t="n">
        <f aca="false">($D$21*모델!$F$37)*MIN(($B$21*$C$21*$H$21)*MAX(1,ROUNDUP(((1)*$B$21*설정!$B$57)/설정!$B$61,0))+((1)*$B$21*설정!$B$57)+((1)*$C$21*설정!$B$57),($B$21*$C$21*$H$21)+((1)*$B$21*설정!$B$57)*MAX(1,ROUNDUP(($B$21*$C$21*$H$21)/설정!$B$61,0))+((1)*$C$21*설정!$B$57))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E166" s="67" t="n">
        <f aca="false">($D$21*모델!$F$37)*MIN(($B$21*$C$21*$H$21)*MAX(1,ROUNDUP(((1)*$B$21*설정!$B$57)/설정!$B$61,0))+((1)*$B$21*설정!$B$57)+((1)*$C$21*설정!$B$57),($B$21*$C$21*$H$21)+((1)*$B$21*설정!$B$57)*MAX(1,ROUNDUP(($B$21*$C$21*$H$21)/설정!$B$61,0))+((1)*$C$21*설정!$B$57))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F166" s="67" t="n">
        <f aca="false">($D$21*모델!$F$37)*MIN(($B$21*$C$21*$H$21)*MAX(1,ROUNDUP(((1)*$B$21*설정!$B$57)/설정!$B$61,0))+((1)*$B$21*설정!$B$57)+((1)*$C$21*설정!$B$57),($B$21*$C$21*$H$21)+((1)*$B$21*설정!$B$57)*MAX(1,ROUNDUP(($B$21*$C$21*$H$21)/설정!$B$61,0))+((1)*$C$21*설정!$B$57))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G166" s="67" t="n">
        <f aca="false">($D$21*모델!$F$37)*MIN(($B$21*$C$21*$H$21)*MAX(1,ROUNDUP(((1)*$B$21*설정!$B$57)/설정!$B$61,0))+((1)*$B$21*설정!$B$57)+((1)*$C$21*설정!$B$57),($B$21*$C$21*$H$21)+((1)*$B$21*설정!$B$57)*MAX(1,ROUNDUP(($B$21*$C$21*$H$21)/설정!$B$61,0))+((1)*$C$21*설정!$B$57))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H166" s="67" t="n">
        <f aca="false">($D$21*모델!$F$37)*MIN(($B$21*$C$21*$H$21)*MAX(1,ROUNDUP(((1)*$B$21*설정!$B$57)/설정!$B$61,0))+((1)*$B$21*설정!$B$57)+((1)*$C$21*설정!$B$57),($B$21*$C$21*$H$21)+((1)*$B$21*설정!$B$57)*MAX(1,ROUNDUP(($B$21*$C$21*$H$21)/설정!$B$61,0))+((1)*$C$21*설정!$B$57))</f>
        <v>0</v>
      </c>
      <c r="I166" s="2"/>
    </row>
    <row r="167" customFormat="false" ht="17.15" hidden="false" customHeight="false" outlineLevel="0" collapsed="false">
      <c r="A167" s="30" t="s">
        <v>331</v>
      </c>
      <c r="B167" s="68" t="n">
        <f aca="false">MAX(B165/$I$21,B166/설정!$B$60)*1000</f>
        <v>0</v>
      </c>
      <c r="C167" s="68" t="n">
        <f aca="false">MAX(C165/$I$21,C166/설정!$B$60)*1000</f>
        <v>0</v>
      </c>
      <c r="D167" s="68" t="n">
        <f aca="false">MAX(D165/$I$21,D166/설정!$B$60)*1000</f>
        <v>0</v>
      </c>
      <c r="E167" s="68" t="n">
        <f aca="false">MAX(E165/$I$21,E166/설정!$B$60)*1000</f>
        <v>0</v>
      </c>
      <c r="F167" s="68" t="n">
        <f aca="false">MAX(F165/$I$21,F166/설정!$B$60)*1000</f>
        <v>0</v>
      </c>
      <c r="G167" s="68" t="n">
        <f aca="false">MAX(G165/$I$21,G166/설정!$B$60)*1000</f>
        <v>0</v>
      </c>
      <c r="H167" s="68" t="n">
        <f aca="false">MAX(H165/$I$21,H166/설정!$B$60)*1000</f>
        <v>0</v>
      </c>
      <c r="I167" s="2"/>
    </row>
    <row r="168" customFormat="false" ht="17.15" hidden="false" customHeight="false" outlineLevel="0" collapsed="false">
      <c r="A168" s="30" t="s">
        <v>332</v>
      </c>
      <c r="B168" s="67" t="n">
        <f aca="false">($D$22*모델!$F$37)*2*(1)*$B$22*$C$22</f>
        <v>0</v>
      </c>
      <c r="C168" s="67" t="n">
        <f aca="false">($D$22*모델!$F$37)*2*(1)*$B$22*$C$22</f>
        <v>0</v>
      </c>
      <c r="D168" s="67" t="n">
        <f aca="false">($D$22*모델!$F$37)*2*(1)*$B$22*$C$22</f>
        <v>0</v>
      </c>
      <c r="E168" s="67" t="n">
        <f aca="false">($D$22*모델!$F$37)*2*(1)*$B$22*$C$22</f>
        <v>0</v>
      </c>
      <c r="F168" s="67" t="n">
        <f aca="false">($D$22*모델!$F$37)*2*(1)*$B$22*$C$22</f>
        <v>0</v>
      </c>
      <c r="G168" s="67" t="n">
        <f aca="false">($D$22*모델!$F$37)*2*(1)*$B$22*$C$22</f>
        <v>0</v>
      </c>
      <c r="H168" s="67" t="n">
        <f aca="false">($D$22*모델!$F$37)*2*(1)*$B$22*$C$22</f>
        <v>0</v>
      </c>
      <c r="I168" s="2"/>
    </row>
    <row r="169" customFormat="false" ht="17.15" hidden="false" customHeight="false" outlineLevel="0" collapsed="false">
      <c r="A169" s="30" t="s">
        <v>333</v>
      </c>
      <c r="B169" s="67" t="n">
        <f aca="false">($D$22*모델!$F$37)*MIN(($B$22*$C$22*$H$22)*MAX(1,ROUNDUP(((1)*$B$22*설정!$B$57)/설정!$B$61,0))+((1)*$B$22*설정!$B$57)+((1)*$C$22*설정!$B$57),($B$22*$C$22*$H$22)+((1)*$B$22*설정!$B$57)*MAX(1,ROUNDUP(($B$22*$C$22*$H$22)/설정!$B$61,0))+((1)*$C$22*설정!$B$57))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C169" s="67" t="n">
        <f aca="false">($D$22*모델!$F$37)*MIN(($B$22*$C$22*$H$22)*MAX(1,ROUNDUP(((1)*$B$22*설정!$B$57)/설정!$B$61,0))+((1)*$B$22*설정!$B$57)+((1)*$C$22*설정!$B$57),($B$22*$C$22*$H$22)+((1)*$B$22*설정!$B$57)*MAX(1,ROUNDUP(($B$22*$C$22*$H$22)/설정!$B$61,0))+((1)*$C$22*설정!$B$57))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D169" s="67" t="n">
        <f aca="false">($D$22*모델!$F$37)*MIN(($B$22*$C$22*$H$22)*MAX(1,ROUNDUP(((1)*$B$22*설정!$B$57)/설정!$B$61,0))+((1)*$B$22*설정!$B$57)+((1)*$C$22*설정!$B$57),($B$22*$C$22*$H$22)+((1)*$B$22*설정!$B$57)*MAX(1,ROUNDUP(($B$22*$C$22*$H$22)/설정!$B$61,0))+((1)*$C$22*설정!$B$57))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E169" s="67" t="n">
        <f aca="false">($D$22*모델!$F$37)*MIN(($B$22*$C$22*$H$22)*MAX(1,ROUNDUP(((1)*$B$22*설정!$B$57)/설정!$B$61,0))+((1)*$B$22*설정!$B$57)+((1)*$C$22*설정!$B$57),($B$22*$C$22*$H$22)+((1)*$B$22*설정!$B$57)*MAX(1,ROUNDUP(($B$22*$C$22*$H$22)/설정!$B$61,0))+((1)*$C$22*설정!$B$57))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F169" s="67" t="n">
        <f aca="false">($D$22*모델!$F$37)*MIN(($B$22*$C$22*$H$22)*MAX(1,ROUNDUP(((1)*$B$22*설정!$B$57)/설정!$B$61,0))+((1)*$B$22*설정!$B$57)+((1)*$C$22*설정!$B$57),($B$22*$C$22*$H$22)+((1)*$B$22*설정!$B$57)*MAX(1,ROUNDUP(($B$22*$C$22*$H$22)/설정!$B$61,0))+((1)*$C$22*설정!$B$57))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G169" s="67" t="n">
        <f aca="false">($D$22*모델!$F$37)*MIN(($B$22*$C$22*$H$22)*MAX(1,ROUNDUP(((1)*$B$22*설정!$B$57)/설정!$B$61,0))+((1)*$B$22*설정!$B$57)+((1)*$C$22*설정!$B$57),($B$22*$C$22*$H$22)+((1)*$B$22*설정!$B$57)*MAX(1,ROUNDUP(($B$22*$C$22*$H$22)/설정!$B$61,0))+((1)*$C$22*설정!$B$57))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H169" s="67" t="n">
        <f aca="false">($D$22*모델!$F$37)*MIN(($B$22*$C$22*$H$22)*MAX(1,ROUNDUP(((1)*$B$22*설정!$B$57)/설정!$B$61,0))+((1)*$B$22*설정!$B$57)+((1)*$C$22*설정!$B$57),($B$22*$C$22*$H$22)+((1)*$B$22*설정!$B$57)*MAX(1,ROUNDUP(($B$22*$C$22*$H$22)/설정!$B$61,0))+((1)*$C$22*설정!$B$57))</f>
        <v>0</v>
      </c>
      <c r="I169" s="2"/>
    </row>
    <row r="170" customFormat="false" ht="17.15" hidden="false" customHeight="false" outlineLevel="0" collapsed="false">
      <c r="A170" s="30" t="s">
        <v>334</v>
      </c>
      <c r="B170" s="68" t="n">
        <f aca="false">MAX(B168/$I$22,B169/설정!$B$60)*1000</f>
        <v>0</v>
      </c>
      <c r="C170" s="68" t="n">
        <f aca="false">MAX(C168/$I$22,C169/설정!$B$60)*1000</f>
        <v>0</v>
      </c>
      <c r="D170" s="68" t="n">
        <f aca="false">MAX(D168/$I$22,D169/설정!$B$60)*1000</f>
        <v>0</v>
      </c>
      <c r="E170" s="68" t="n">
        <f aca="false">MAX(E168/$I$22,E169/설정!$B$60)*1000</f>
        <v>0</v>
      </c>
      <c r="F170" s="68" t="n">
        <f aca="false">MAX(F168/$I$22,F169/설정!$B$60)*1000</f>
        <v>0</v>
      </c>
      <c r="G170" s="68" t="n">
        <f aca="false">MAX(G168/$I$22,G169/설정!$B$60)*1000</f>
        <v>0</v>
      </c>
      <c r="H170" s="68" t="n">
        <f aca="false">MAX(H168/$I$22,H169/설정!$B$60)*1000</f>
        <v>0</v>
      </c>
      <c r="I170" s="2"/>
    </row>
    <row r="171" customFormat="false" ht="17.15" hidden="false" customHeight="false" outlineLevel="0" collapsed="false">
      <c r="A171" s="30" t="s">
        <v>335</v>
      </c>
      <c r="B171" s="67" t="n">
        <f aca="false">($D$23*모델!$F$37)*2*(1)*$B$23*$C$23</f>
        <v>0</v>
      </c>
      <c r="C171" s="67" t="n">
        <f aca="false">($D$23*모델!$F$37)*2*(1)*$B$23*$C$23</f>
        <v>0</v>
      </c>
      <c r="D171" s="67" t="n">
        <f aca="false">($D$23*모델!$F$37)*2*(1)*$B$23*$C$23</f>
        <v>0</v>
      </c>
      <c r="E171" s="67" t="n">
        <f aca="false">($D$23*모델!$F$37)*2*(1)*$B$23*$C$23</f>
        <v>0</v>
      </c>
      <c r="F171" s="67" t="n">
        <f aca="false">($D$23*모델!$F$37)*2*(1)*$B$23*$C$23</f>
        <v>0</v>
      </c>
      <c r="G171" s="67" t="n">
        <f aca="false">($D$23*모델!$F$37)*2*(1)*$B$23*$C$23</f>
        <v>0</v>
      </c>
      <c r="H171" s="67" t="n">
        <f aca="false">($D$23*모델!$F$37)*2*(1)*$B$23*$C$23</f>
        <v>0</v>
      </c>
      <c r="I171" s="2"/>
    </row>
    <row r="172" customFormat="false" ht="17.15" hidden="false" customHeight="false" outlineLevel="0" collapsed="false">
      <c r="A172" s="30" t="s">
        <v>336</v>
      </c>
      <c r="B172" s="67" t="n">
        <f aca="false">($D$23*모델!$F$37)*MIN(($B$23*$C$23*$H$23)*MAX(1,ROUNDUP(((1)*$B$23*설정!$B$57)/설정!$B$61,0))+((1)*$B$23*설정!$B$57)+((1)*$C$23*설정!$B$57),($B$23*$C$23*$H$23)+((1)*$B$23*설정!$B$57)*MAX(1,ROUNDUP(($B$23*$C$23*$H$23)/설정!$B$61,0))+((1)*$C$23*설정!$B$57))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C172" s="67" t="n">
        <f aca="false">($D$23*모델!$F$37)*MIN(($B$23*$C$23*$H$23)*MAX(1,ROUNDUP(((1)*$B$23*설정!$B$57)/설정!$B$61,0))+((1)*$B$23*설정!$B$57)+((1)*$C$23*설정!$B$57),($B$23*$C$23*$H$23)+((1)*$B$23*설정!$B$57)*MAX(1,ROUNDUP(($B$23*$C$23*$H$23)/설정!$B$61,0))+((1)*$C$23*설정!$B$57))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D172" s="67" t="n">
        <f aca="false">($D$23*모델!$F$37)*MIN(($B$23*$C$23*$H$23)*MAX(1,ROUNDUP(((1)*$B$23*설정!$B$57)/설정!$B$61,0))+((1)*$B$23*설정!$B$57)+((1)*$C$23*설정!$B$57),($B$23*$C$23*$H$23)+((1)*$B$23*설정!$B$57)*MAX(1,ROUNDUP(($B$23*$C$23*$H$23)/설정!$B$61,0))+((1)*$C$23*설정!$B$57))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E172" s="67" t="n">
        <f aca="false">($D$23*모델!$F$37)*MIN(($B$23*$C$23*$H$23)*MAX(1,ROUNDUP(((1)*$B$23*설정!$B$57)/설정!$B$61,0))+((1)*$B$23*설정!$B$57)+((1)*$C$23*설정!$B$57),($B$23*$C$23*$H$23)+((1)*$B$23*설정!$B$57)*MAX(1,ROUNDUP(($B$23*$C$23*$H$23)/설정!$B$61,0))+((1)*$C$23*설정!$B$57))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F172" s="67" t="n">
        <f aca="false">($D$23*모델!$F$37)*MIN(($B$23*$C$23*$H$23)*MAX(1,ROUNDUP(((1)*$B$23*설정!$B$57)/설정!$B$61,0))+((1)*$B$23*설정!$B$57)+((1)*$C$23*설정!$B$57),($B$23*$C$23*$H$23)+((1)*$B$23*설정!$B$57)*MAX(1,ROUNDUP(($B$23*$C$23*$H$23)/설정!$B$61,0))+((1)*$C$23*설정!$B$57))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G172" s="67" t="n">
        <f aca="false">($D$23*모델!$F$37)*MIN(($B$23*$C$23*$H$23)*MAX(1,ROUNDUP(((1)*$B$23*설정!$B$57)/설정!$B$61,0))+((1)*$B$23*설정!$B$57)+((1)*$C$23*설정!$B$57),($B$23*$C$23*$H$23)+((1)*$B$23*설정!$B$57)*MAX(1,ROUNDUP(($B$23*$C$23*$H$23)/설정!$B$61,0))+((1)*$C$23*설정!$B$57))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H172" s="67" t="n">
        <f aca="false">($D$23*모델!$F$37)*MIN(($B$23*$C$23*$H$23)*MAX(1,ROUNDUP(((1)*$B$23*설정!$B$57)/설정!$B$61,0))+((1)*$B$23*설정!$B$57)+((1)*$C$23*설정!$B$57),($B$23*$C$23*$H$23)+((1)*$B$23*설정!$B$57)*MAX(1,ROUNDUP(($B$23*$C$23*$H$23)/설정!$B$61,0))+((1)*$C$23*설정!$B$57))</f>
        <v>0</v>
      </c>
      <c r="I172" s="2"/>
    </row>
    <row r="173" customFormat="false" ht="17.15" hidden="false" customHeight="false" outlineLevel="0" collapsed="false">
      <c r="A173" s="30" t="s">
        <v>337</v>
      </c>
      <c r="B173" s="68" t="n">
        <f aca="false">MAX(B171/$I$23,B172/설정!$B$60)*1000</f>
        <v>0</v>
      </c>
      <c r="C173" s="68" t="n">
        <f aca="false">MAX(C171/$I$23,C172/설정!$B$60)*1000</f>
        <v>0</v>
      </c>
      <c r="D173" s="68" t="n">
        <f aca="false">MAX(D171/$I$23,D172/설정!$B$60)*1000</f>
        <v>0</v>
      </c>
      <c r="E173" s="68" t="n">
        <f aca="false">MAX(E171/$I$23,E172/설정!$B$60)*1000</f>
        <v>0</v>
      </c>
      <c r="F173" s="68" t="n">
        <f aca="false">MAX(F171/$I$23,F172/설정!$B$60)*1000</f>
        <v>0</v>
      </c>
      <c r="G173" s="68" t="n">
        <f aca="false">MAX(G171/$I$23,G172/설정!$B$60)*1000</f>
        <v>0</v>
      </c>
      <c r="H173" s="68" t="n">
        <f aca="false">MAX(H171/$I$23,H172/설정!$B$60)*1000</f>
        <v>0</v>
      </c>
      <c r="I173" s="2"/>
    </row>
    <row r="174" customFormat="false" ht="17.15" hidden="false" customHeight="false" outlineLevel="0" collapsed="false">
      <c r="A174" s="30" t="s">
        <v>338</v>
      </c>
      <c r="B174" s="67" t="n">
        <f aca="false">($D$24)*2*(1)*$B$24*$C$24</f>
        <v>788004864</v>
      </c>
      <c r="C174" s="67" t="n">
        <f aca="false">($D$24)*2*(1)*$B$24*$C$24</f>
        <v>788004864</v>
      </c>
      <c r="D174" s="67" t="n">
        <f aca="false">($D$24)*2*(1)*$B$24*$C$24</f>
        <v>788004864</v>
      </c>
      <c r="E174" s="67" t="n">
        <f aca="false">($D$24)*2*(1)*$B$24*$C$24</f>
        <v>788004864</v>
      </c>
      <c r="F174" s="67" t="n">
        <f aca="false">($D$24)*2*(1)*$B$24*$C$24</f>
        <v>788004864</v>
      </c>
      <c r="G174" s="67" t="n">
        <f aca="false">($D$24)*2*(1)*$B$24*$C$24</f>
        <v>788004864</v>
      </c>
      <c r="H174" s="67" t="n">
        <f aca="false">($D$24)*2*(1)*$B$24*$C$24</f>
        <v>788004864</v>
      </c>
      <c r="I174" s="2"/>
    </row>
    <row r="175" customFormat="false" ht="17.15" hidden="false" customHeight="false" outlineLevel="0" collapsed="false">
      <c r="A175" s="30" t="s">
        <v>339</v>
      </c>
      <c r="B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C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D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E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F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G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H175" s="67" t="n">
        <f aca="false">($D$24)*MIN(($B$24*$C$24*$H$24)*MAX(1,ROUNDUP(((1)*$B$24*설정!$B$57)/설정!$B$61,0))+((1)*$B$24*설정!$B$57)+((1)*$C$24*설정!$B$57),($B$24*$C$24*$H$24)+((1)*$B$24*설정!$B$57)*MAX(1,ROUNDUP(($B$24*$C$24*$H$24)/설정!$B$61,0))+((1)*$C$24*설정!$B$57))</f>
        <v>203288832</v>
      </c>
      <c r="I175" s="2"/>
    </row>
    <row r="176" customFormat="false" ht="17.15" hidden="false" customHeight="false" outlineLevel="0" collapsed="false">
      <c r="A176" s="30" t="s">
        <v>340</v>
      </c>
      <c r="B176" s="68" t="n">
        <f aca="false">MAX(B174/$I$24,B175/설정!$B$60)*1000</f>
        <v>3.98605552941177</v>
      </c>
      <c r="C176" s="68" t="n">
        <f aca="false">MAX(C174/$I$24,C175/설정!$B$60)*1000</f>
        <v>3.98605552941177</v>
      </c>
      <c r="D176" s="68" t="n">
        <f aca="false">MAX(D174/$I$24,D175/설정!$B$60)*1000</f>
        <v>3.98605552941177</v>
      </c>
      <c r="E176" s="68" t="n">
        <f aca="false">MAX(E174/$I$24,E175/설정!$B$60)*1000</f>
        <v>3.98605552941177</v>
      </c>
      <c r="F176" s="68" t="n">
        <f aca="false">MAX(F174/$I$24,F175/설정!$B$60)*1000</f>
        <v>3.98605552941177</v>
      </c>
      <c r="G176" s="68" t="n">
        <f aca="false">MAX(G174/$I$24,G175/설정!$B$60)*1000</f>
        <v>3.98605552941177</v>
      </c>
      <c r="H176" s="68" t="n">
        <f aca="false">MAX(H174/$I$24,H175/설정!$B$60)*1000</f>
        <v>3.98605552941177</v>
      </c>
      <c r="I176" s="2"/>
    </row>
    <row r="177" customFormat="false" ht="17.15" hidden="false" customHeight="false" outlineLevel="0" collapsed="false">
      <c r="A177" s="30" t="s">
        <v>342</v>
      </c>
      <c r="B177" s="67" t="n">
        <f aca="false">모델!$F$12*4*모델!$F$13*모델!$F$15*B116</f>
        <v>88080384</v>
      </c>
      <c r="C177" s="67" t="n">
        <f aca="false">모델!$F$12*4*모델!$F$13*모델!$F$15*C116</f>
        <v>132120576</v>
      </c>
      <c r="D177" s="67" t="n">
        <f aca="false">모델!$F$12*4*모델!$F$13*모델!$F$15*D116</f>
        <v>220200960</v>
      </c>
      <c r="E177" s="67" t="n">
        <f aca="false">모델!$F$12*4*모델!$F$13*모델!$F$15*E116</f>
        <v>396361728</v>
      </c>
      <c r="F177" s="67" t="n">
        <f aca="false">모델!$F$12*4*모델!$F$13*모델!$F$15*F116</f>
        <v>748683264</v>
      </c>
      <c r="G177" s="67" t="n">
        <f aca="false">모델!$F$12*4*모델!$F$13*모델!$F$15*G116</f>
        <v>1453326336</v>
      </c>
      <c r="H177" s="67" t="n">
        <f aca="false">모델!$F$12*4*모델!$F$13*모델!$F$15*H116</f>
        <v>2862612480</v>
      </c>
      <c r="I177" s="2"/>
    </row>
    <row r="178" customFormat="false" ht="17.15" hidden="false" customHeight="false" outlineLevel="0" collapsed="false">
      <c r="A178" s="30" t="s">
        <v>364</v>
      </c>
      <c r="B178" s="67" t="n">
        <f aca="false">모델!$F$12*(B116*2*모델!$F$14*모델!$F$15*설정!$B$58+2*모델!$F$13*모델!$F$15*설정!$B$57)</f>
        <v>14852096</v>
      </c>
      <c r="C178" s="67" t="n">
        <f aca="false">모델!$F$12*(C116*2*모델!$F$14*모델!$F$15*설정!$B$58+2*모델!$F$13*모델!$F$15*설정!$B$57)</f>
        <v>22192128</v>
      </c>
      <c r="D178" s="67" t="n">
        <f aca="false">모델!$F$12*(D116*2*모델!$F$14*모델!$F$15*설정!$B$58+2*모델!$F$13*모델!$F$15*설정!$B$57)</f>
        <v>36872192</v>
      </c>
      <c r="E178" s="67" t="n">
        <f aca="false">모델!$F$12*(E116*2*모델!$F$14*모델!$F$15*설정!$B$58+2*모델!$F$13*모델!$F$15*설정!$B$57)</f>
        <v>66232320</v>
      </c>
      <c r="F178" s="67" t="n">
        <f aca="false">모델!$F$12*(F116*2*모델!$F$14*모델!$F$15*설정!$B$58+2*모델!$F$13*모델!$F$15*설정!$B$57)</f>
        <v>124952576</v>
      </c>
      <c r="G178" s="67" t="n">
        <f aca="false">모델!$F$12*(G116*2*모델!$F$14*모델!$F$15*설정!$B$58+2*모델!$F$13*모델!$F$15*설정!$B$57)</f>
        <v>242393088</v>
      </c>
      <c r="H178" s="67" t="n">
        <f aca="false">모델!$F$12*(H116*2*모델!$F$14*모델!$F$15*설정!$B$58+2*모델!$F$13*모델!$F$15*설정!$B$57)</f>
        <v>477274112</v>
      </c>
      <c r="I178" s="2"/>
    </row>
    <row r="179" customFormat="false" ht="17.15" hidden="false" customHeight="false" outlineLevel="0" collapsed="false">
      <c r="A179" s="30" t="s">
        <v>344</v>
      </c>
      <c r="B179" s="68" t="n">
        <f aca="false">MAX(B177/설정!$B$68,B178/설정!$B$60)*1000</f>
        <v>0.291217568627451</v>
      </c>
      <c r="C179" s="68" t="n">
        <f aca="false">MAX(C177/설정!$B$68,C178/설정!$B$60)*1000</f>
        <v>0.435139764705882</v>
      </c>
      <c r="D179" s="68" t="n">
        <f aca="false">MAX(D177/설정!$B$68,D178/설정!$B$60)*1000</f>
        <v>0.722984156862745</v>
      </c>
      <c r="E179" s="68" t="n">
        <f aca="false">MAX(E177/설정!$B$68,E178/설정!$B$60)*1000</f>
        <v>1.29867294117647</v>
      </c>
      <c r="F179" s="68" t="n">
        <f aca="false">MAX(F177/설정!$B$68,F178/설정!$B$60)*1000</f>
        <v>2.45005050980392</v>
      </c>
      <c r="G179" s="68" t="n">
        <f aca="false">MAX(G177/설정!$B$68,G178/설정!$B$60)*1000</f>
        <v>4.75280564705882</v>
      </c>
      <c r="H179" s="68" t="n">
        <f aca="false">MAX(H177/설정!$B$68,H178/설정!$B$60)*1000</f>
        <v>9.35831592156863</v>
      </c>
      <c r="I179" s="2"/>
    </row>
    <row r="180" customFormat="false" ht="17.15" hidden="false" customHeight="false" outlineLevel="0" collapsed="false">
      <c r="A180" s="30" t="s">
        <v>365</v>
      </c>
      <c r="B180" s="69" t="n">
        <f aca="false">MIN(B116,모델!$F$20)</f>
        <v>0</v>
      </c>
      <c r="C180" s="69" t="n">
        <f aca="false">MIN(C116,모델!$F$20)</f>
        <v>0</v>
      </c>
      <c r="D180" s="69" t="n">
        <f aca="false">MIN(D116,모델!$F$20)</f>
        <v>0</v>
      </c>
      <c r="E180" s="69" t="n">
        <f aca="false">MIN(E116,모델!$F$20)</f>
        <v>0</v>
      </c>
      <c r="F180" s="69" t="n">
        <f aca="false">MIN(F116,모델!$F$20)</f>
        <v>0</v>
      </c>
      <c r="G180" s="69" t="n">
        <f aca="false">MIN(G116,모델!$F$20)</f>
        <v>0</v>
      </c>
      <c r="H180" s="69" t="n">
        <f aca="false">MIN(H116,모델!$F$20)</f>
        <v>0</v>
      </c>
      <c r="I180" s="2"/>
    </row>
    <row r="181" customFormat="false" ht="17.15" hidden="false" customHeight="false" outlineLevel="0" collapsed="false">
      <c r="A181" s="30" t="s">
        <v>346</v>
      </c>
      <c r="B181" s="67" t="n">
        <f aca="false">모델!$F$19*4*모델!$F$21*모델!$F$23*B180</f>
        <v>0</v>
      </c>
      <c r="C181" s="67" t="n">
        <f aca="false">모델!$F$19*4*모델!$F$21*모델!$F$23*C180</f>
        <v>0</v>
      </c>
      <c r="D181" s="67" t="n">
        <f aca="false">모델!$F$19*4*모델!$F$21*모델!$F$23*D180</f>
        <v>0</v>
      </c>
      <c r="E181" s="67" t="n">
        <f aca="false">모델!$F$19*4*모델!$F$21*모델!$F$23*E180</f>
        <v>0</v>
      </c>
      <c r="F181" s="67" t="n">
        <f aca="false">모델!$F$19*4*모델!$F$21*모델!$F$23*F180</f>
        <v>0</v>
      </c>
      <c r="G181" s="67" t="n">
        <f aca="false">모델!$F$19*4*모델!$F$21*모델!$F$23*G180</f>
        <v>0</v>
      </c>
      <c r="H181" s="67" t="n">
        <f aca="false">모델!$F$19*4*모델!$F$21*모델!$F$23*H180</f>
        <v>0</v>
      </c>
      <c r="I181" s="2"/>
    </row>
    <row r="182" customFormat="false" ht="17.15" hidden="false" customHeight="false" outlineLevel="0" collapsed="false">
      <c r="A182" s="30" t="s">
        <v>366</v>
      </c>
      <c r="B182" s="67" t="n">
        <f aca="false">모델!$F$19*(B180*2*모델!$F$22*모델!$F$23*설정!$B$58+2*모델!$F$21*모델!$F$23*설정!$B$57)</f>
        <v>0</v>
      </c>
      <c r="C182" s="67" t="n">
        <f aca="false">모델!$F$19*(C180*2*모델!$F$22*모델!$F$23*설정!$B$58+2*모델!$F$21*모델!$F$23*설정!$B$57)</f>
        <v>0</v>
      </c>
      <c r="D182" s="67" t="n">
        <f aca="false">모델!$F$19*(D180*2*모델!$F$22*모델!$F$23*설정!$B$58+2*모델!$F$21*모델!$F$23*설정!$B$57)</f>
        <v>0</v>
      </c>
      <c r="E182" s="67" t="n">
        <f aca="false">모델!$F$19*(E180*2*모델!$F$22*모델!$F$23*설정!$B$58+2*모델!$F$21*모델!$F$23*설정!$B$57)</f>
        <v>0</v>
      </c>
      <c r="F182" s="67" t="n">
        <f aca="false">모델!$F$19*(F180*2*모델!$F$22*모델!$F$23*설정!$B$58+2*모델!$F$21*모델!$F$23*설정!$B$57)</f>
        <v>0</v>
      </c>
      <c r="G182" s="67" t="n">
        <f aca="false">모델!$F$19*(G180*2*모델!$F$22*모델!$F$23*설정!$B$58+2*모델!$F$21*모델!$F$23*설정!$B$57)</f>
        <v>0</v>
      </c>
      <c r="H182" s="67" t="n">
        <f aca="false">모델!$F$19*(H180*2*모델!$F$22*모델!$F$23*설정!$B$58+2*모델!$F$21*모델!$F$23*설정!$B$57)</f>
        <v>0</v>
      </c>
      <c r="I182" s="2"/>
    </row>
    <row r="183" customFormat="false" ht="17.15" hidden="false" customHeight="false" outlineLevel="0" collapsed="false">
      <c r="A183" s="30" t="s">
        <v>348</v>
      </c>
      <c r="B183" s="68" t="n">
        <f aca="false">MAX(B181/설정!$B$68,B182/설정!$B$60)*1000</f>
        <v>0</v>
      </c>
      <c r="C183" s="68" t="n">
        <f aca="false">MAX(C181/설정!$B$68,C182/설정!$B$60)*1000</f>
        <v>0</v>
      </c>
      <c r="D183" s="68" t="n">
        <f aca="false">MAX(D181/설정!$B$68,D182/설정!$B$60)*1000</f>
        <v>0</v>
      </c>
      <c r="E183" s="68" t="n">
        <f aca="false">MAX(E181/설정!$B$68,E182/설정!$B$60)*1000</f>
        <v>0</v>
      </c>
      <c r="F183" s="68" t="n">
        <f aca="false">MAX(F181/설정!$B$68,F182/설정!$B$60)*1000</f>
        <v>0</v>
      </c>
      <c r="G183" s="68" t="n">
        <f aca="false">MAX(G181/설정!$B$68,G182/설정!$B$60)*1000</f>
        <v>0</v>
      </c>
      <c r="H183" s="68" t="n">
        <f aca="false">MAX(H181/설정!$B$68,H182/설정!$B$60)*1000</f>
        <v>0</v>
      </c>
      <c r="I183" s="2"/>
    </row>
    <row r="184" customFormat="false" ht="17.15" hidden="false" customHeight="false" outlineLevel="0" collapsed="false">
      <c r="A184" s="30" t="s">
        <v>367</v>
      </c>
      <c r="B184" s="67" t="n">
        <f aca="false">모델!$F$26*(모델!$F$29*7*모델!$F$28*모델!$F$30+2*모델!$F$31*모델!$F$52)</f>
        <v>0</v>
      </c>
      <c r="C184" s="67" t="n">
        <f aca="false">모델!$F$26*(모델!$F$29*7*모델!$F$28*모델!$F$30+2*모델!$F$31*모델!$F$52)</f>
        <v>0</v>
      </c>
      <c r="D184" s="67" t="n">
        <f aca="false">모델!$F$26*(모델!$F$29*7*모델!$F$28*모델!$F$30+2*모델!$F$31*모델!$F$52)</f>
        <v>0</v>
      </c>
      <c r="E184" s="67" t="n">
        <f aca="false">모델!$F$26*(모델!$F$29*7*모델!$F$28*모델!$F$30+2*모델!$F$31*모델!$F$52)</f>
        <v>0</v>
      </c>
      <c r="F184" s="67" t="n">
        <f aca="false">모델!$F$26*(모델!$F$29*7*모델!$F$28*모델!$F$30+2*모델!$F$31*모델!$F$52)</f>
        <v>0</v>
      </c>
      <c r="G184" s="67" t="n">
        <f aca="false">모델!$F$26*(모델!$F$29*7*모델!$F$28*모델!$F$30+2*모델!$F$31*모델!$F$52)</f>
        <v>0</v>
      </c>
      <c r="H184" s="67" t="n">
        <f aca="false">모델!$F$26*(모델!$F$29*7*모델!$F$28*모델!$F$30+2*모델!$F$31*모델!$F$52)</f>
        <v>0</v>
      </c>
      <c r="I184" s="2"/>
    </row>
    <row r="185" customFormat="false" ht="17.15" hidden="false" customHeight="false" outlineLevel="0" collapsed="false">
      <c r="A185" s="30" t="s">
        <v>368</v>
      </c>
      <c r="B185" s="67" t="n">
        <f aca="false">모델!$F$26*(2*모델!$F$29*모델!$F$28*모델!$F$30*설정!$B$59+2*MAX(0,모델!$F$31-1)*모델!$F$52*설정!$B$57+(모델!$F$52+2*모델!$F$29+모델!$F$29*모델!$F$30)*설정!$B$57)</f>
        <v>0</v>
      </c>
      <c r="C185" s="67" t="n">
        <f aca="false">모델!$F$26*(2*모델!$F$29*모델!$F$28*모델!$F$30*설정!$B$59+2*MAX(0,모델!$F$31-1)*모델!$F$52*설정!$B$57+(모델!$F$52+2*모델!$F$29+모델!$F$29*모델!$F$30)*설정!$B$57)</f>
        <v>0</v>
      </c>
      <c r="D185" s="67" t="n">
        <f aca="false">모델!$F$26*(2*모델!$F$29*모델!$F$28*모델!$F$30*설정!$B$59+2*MAX(0,모델!$F$31-1)*모델!$F$52*설정!$B$57+(모델!$F$52+2*모델!$F$29+모델!$F$29*모델!$F$30)*설정!$B$57)</f>
        <v>0</v>
      </c>
      <c r="E185" s="67" t="n">
        <f aca="false">모델!$F$26*(2*모델!$F$29*모델!$F$28*모델!$F$30*설정!$B$59+2*MAX(0,모델!$F$31-1)*모델!$F$52*설정!$B$57+(모델!$F$52+2*모델!$F$29+모델!$F$29*모델!$F$30)*설정!$B$57)</f>
        <v>0</v>
      </c>
      <c r="F185" s="67" t="n">
        <f aca="false">모델!$F$26*(2*모델!$F$29*모델!$F$28*모델!$F$30*설정!$B$59+2*MAX(0,모델!$F$31-1)*모델!$F$52*설정!$B$57+(모델!$F$52+2*모델!$F$29+모델!$F$29*모델!$F$30)*설정!$B$57)</f>
        <v>0</v>
      </c>
      <c r="G185" s="67" t="n">
        <f aca="false">모델!$F$26*(2*모델!$F$29*모델!$F$28*모델!$F$30*설정!$B$59+2*MAX(0,모델!$F$31-1)*모델!$F$52*설정!$B$57+(모델!$F$52+2*모델!$F$29+모델!$F$29*모델!$F$30)*설정!$B$57)</f>
        <v>0</v>
      </c>
      <c r="H185" s="67" t="n">
        <f aca="false">모델!$F$26*(2*모델!$F$29*모델!$F$28*모델!$F$30*설정!$B$59+2*MAX(0,모델!$F$31-1)*모델!$F$52*설정!$B$57+(모델!$F$52+2*모델!$F$29+모델!$F$29*모델!$F$30)*설정!$B$57)</f>
        <v>0</v>
      </c>
      <c r="I185" s="2"/>
    </row>
    <row r="186" customFormat="false" ht="17.15" hidden="false" customHeight="false" outlineLevel="0" collapsed="false">
      <c r="A186" s="30" t="s">
        <v>369</v>
      </c>
      <c r="B186" s="68" t="n">
        <f aca="false">MAX(B184/설정!$B$69,B185/설정!$B$60)*1000</f>
        <v>0</v>
      </c>
      <c r="C186" s="68" t="n">
        <f aca="false">MAX(C184/설정!$B$69,C185/설정!$B$60)*1000</f>
        <v>0</v>
      </c>
      <c r="D186" s="68" t="n">
        <f aca="false">MAX(D184/설정!$B$69,D185/설정!$B$60)*1000</f>
        <v>0</v>
      </c>
      <c r="E186" s="68" t="n">
        <f aca="false">MAX(E184/설정!$B$69,E185/설정!$B$60)*1000</f>
        <v>0</v>
      </c>
      <c r="F186" s="68" t="n">
        <f aca="false">MAX(F184/설정!$B$69,F185/설정!$B$60)*1000</f>
        <v>0</v>
      </c>
      <c r="G186" s="68" t="n">
        <f aca="false">MAX(G184/설정!$B$69,G185/설정!$B$60)*1000</f>
        <v>0</v>
      </c>
      <c r="H186" s="68" t="n">
        <f aca="false">MAX(H184/설정!$B$69,H185/설정!$B$60)*1000</f>
        <v>0</v>
      </c>
      <c r="I186" s="2"/>
    </row>
    <row r="187" customFormat="false" ht="17.15" hidden="false" customHeight="false" outlineLevel="0" collapsed="false">
      <c r="A187" s="30" t="s">
        <v>370</v>
      </c>
      <c r="B187" s="68" t="n">
        <f aca="false">모델!$F$49*IF(설정!$B$40="CPU",설정!$B$41/1000+((1)*모델!$F$36*설정!$B$43/8+(1)*모델!$F$37*설정!$B$44)/(설정!$B$42*1000000000)*1000+(1)*모델!$F$36*설정!$B$45/1000000,설정!$B$46/1000)</f>
        <v>0</v>
      </c>
      <c r="C187" s="68" t="n">
        <f aca="false">모델!$F$49*IF(설정!$B$40="CPU",설정!$B$41/1000+((1)*모델!$F$36*설정!$B$43/8+(1)*모델!$F$37*설정!$B$44)/(설정!$B$42*1000000000)*1000+(1)*모델!$F$36*설정!$B$45/1000000,설정!$B$46/1000)</f>
        <v>0</v>
      </c>
      <c r="D187" s="68" t="n">
        <f aca="false">모델!$F$49*IF(설정!$B$40="CPU",설정!$B$41/1000+((1)*모델!$F$36*설정!$B$43/8+(1)*모델!$F$37*설정!$B$44)/(설정!$B$42*1000000000)*1000+(1)*모델!$F$36*설정!$B$45/1000000,설정!$B$46/1000)</f>
        <v>0</v>
      </c>
      <c r="E187" s="68" t="n">
        <f aca="false">모델!$F$49*IF(설정!$B$40="CPU",설정!$B$41/1000+((1)*모델!$F$36*설정!$B$43/8+(1)*모델!$F$37*설정!$B$44)/(설정!$B$42*1000000000)*1000+(1)*모델!$F$36*설정!$B$45/1000000,설정!$B$46/1000)</f>
        <v>0</v>
      </c>
      <c r="F187" s="68" t="n">
        <f aca="false">모델!$F$49*IF(설정!$B$40="CPU",설정!$B$41/1000+((1)*모델!$F$36*설정!$B$43/8+(1)*모델!$F$37*설정!$B$44)/(설정!$B$42*1000000000)*1000+(1)*모델!$F$36*설정!$B$45/1000000,설정!$B$46/1000)</f>
        <v>0</v>
      </c>
      <c r="G187" s="68" t="n">
        <f aca="false">모델!$F$49*IF(설정!$B$40="CPU",설정!$B$41/1000+((1)*모델!$F$36*설정!$B$43/8+(1)*모델!$F$37*설정!$B$44)/(설정!$B$42*1000000000)*1000+(1)*모델!$F$36*설정!$B$45/1000000,설정!$B$46/1000)</f>
        <v>0</v>
      </c>
      <c r="H187" s="68" t="n">
        <f aca="false">모델!$F$49*IF(설정!$B$40="CPU",설정!$B$41/1000+((1)*모델!$F$36*설정!$B$43/8+(1)*모델!$F$37*설정!$B$44)/(설정!$B$42*1000000000)*1000+(1)*모델!$F$36*설정!$B$45/1000000,설정!$B$46/1000)</f>
        <v>0</v>
      </c>
      <c r="I187" s="2"/>
    </row>
    <row r="188" customFormat="false" ht="17.15" hidden="false" customHeight="false" outlineLevel="0" collapsed="false">
      <c r="A188" s="33" t="s">
        <v>354</v>
      </c>
      <c r="B188" s="64" t="n">
        <f aca="false">B119+B122+B125+B128+B131+B134+B137+B140+B143+B146+B149+B152+B155+B158+B161+B164+B167+B170+B173+B176</f>
        <v>32.512446745098</v>
      </c>
      <c r="C188" s="64" t="n">
        <f aca="false">C119+C122+C125+C128+C131+C134+C137+C140+C143+C146+C149+C152+C155+C158+C161+C164+C167+C170+C173+C176</f>
        <v>32.512446745098</v>
      </c>
      <c r="D188" s="64" t="n">
        <f aca="false">D119+D122+D125+D128+D131+D134+D137+D140+D143+D146+D149+D152+D155+D158+D161+D164+D167+D170+D173+D176</f>
        <v>32.512446745098</v>
      </c>
      <c r="E188" s="64" t="n">
        <f aca="false">E119+E122+E125+E128+E131+E134+E137+E140+E143+E146+E149+E152+E155+E158+E161+E164+E167+E170+E173+E176</f>
        <v>32.512446745098</v>
      </c>
      <c r="F188" s="64" t="n">
        <f aca="false">F119+F122+F125+F128+F131+F134+F137+F140+F143+F146+F149+F152+F155+F158+F161+F164+F167+F170+F173+F176</f>
        <v>32.512446745098</v>
      </c>
      <c r="G188" s="64" t="n">
        <f aca="false">G119+G122+G125+G128+G131+G134+G137+G140+G143+G146+G149+G152+G155+G158+G161+G164+G167+G170+G173+G176</f>
        <v>32.512446745098</v>
      </c>
      <c r="H188" s="64" t="n">
        <f aca="false">H119+H122+H125+H128+H131+H134+H137+H140+H143+H146+H149+H152+H155+H158+H161+H164+H167+H170+H173+H176</f>
        <v>32.512446745098</v>
      </c>
      <c r="I188" s="2"/>
    </row>
    <row r="189" customFormat="false" ht="17.15" hidden="false" customHeight="false" outlineLevel="0" collapsed="false">
      <c r="A189" s="33" t="s">
        <v>371</v>
      </c>
      <c r="B189" s="64" t="n">
        <f aca="false">B179+B183+B186</f>
        <v>0.291217568627451</v>
      </c>
      <c r="C189" s="64" t="n">
        <f aca="false">C179+C183+C186</f>
        <v>0.435139764705882</v>
      </c>
      <c r="D189" s="64" t="n">
        <f aca="false">D179+D183+D186</f>
        <v>0.722984156862745</v>
      </c>
      <c r="E189" s="64" t="n">
        <f aca="false">E179+E183+E186</f>
        <v>1.29867294117647</v>
      </c>
      <c r="F189" s="64" t="n">
        <f aca="false">F179+F183+F186</f>
        <v>2.45005050980392</v>
      </c>
      <c r="G189" s="64" t="n">
        <f aca="false">G179+G183+G186</f>
        <v>4.75280564705882</v>
      </c>
      <c r="H189" s="64" t="n">
        <f aca="false">H179+H183+H186</f>
        <v>9.35831592156863</v>
      </c>
      <c r="I189" s="2"/>
    </row>
    <row r="190" customFormat="false" ht="17.15" hidden="false" customHeight="false" outlineLevel="0" collapsed="false">
      <c r="A190" s="33" t="s">
        <v>372</v>
      </c>
      <c r="B190" s="68" t="n">
        <f aca="false">(B118+B121+B124+B127+B130+B133+B136+B139+B142+B145+B148+B151+B154+B157+B160+B163+B166+B169+B172+B175+B178+B182+B185)/1000000000</f>
        <v>1.67298688</v>
      </c>
      <c r="C190" s="68" t="n">
        <f aca="false">(C118+C121+C124+C127+C130+C133+C136+C139+C142+C145+C148+C151+C154+C157+C160+C163+C166+C169+C172+C175+C178+C182+C185)/1000000000</f>
        <v>1.680326912</v>
      </c>
      <c r="D190" s="68" t="n">
        <f aca="false">(D118+D121+D124+D127+D130+D133+D136+D139+D142+D145+D148+D151+D154+D157+D160+D163+D166+D169+D172+D175+D178+D182+D185)/1000000000</f>
        <v>1.695006976</v>
      </c>
      <c r="E190" s="68" t="n">
        <f aca="false">(E118+E121+E124+E127+E130+E133+E136+E139+E142+E145+E148+E151+E154+E157+E160+E163+E166+E169+E172+E175+E178+E182+E185)/1000000000</f>
        <v>1.724367104</v>
      </c>
      <c r="F190" s="68" t="n">
        <f aca="false">(F118+F121+F124+F127+F130+F133+F136+F139+F142+F145+F148+F151+F154+F157+F160+F163+F166+F169+F172+F175+F178+F182+F185)/1000000000</f>
        <v>1.78308736</v>
      </c>
      <c r="G190" s="68" t="n">
        <f aca="false">(G118+G121+G124+G127+G130+G133+G136+G139+G142+G145+G148+G151+G154+G157+G160+G163+G166+G169+G172+G175+G178+G182+G185)/1000000000</f>
        <v>1.900527872</v>
      </c>
      <c r="H190" s="68" t="n">
        <f aca="false">(H118+H121+H124+H127+H130+H133+H136+H139+H142+H145+H148+H151+H154+H157+H160+H163+H166+H169+H172+H175+H178+H182+H185)/1000000000</f>
        <v>2.135408896</v>
      </c>
      <c r="I190" s="2"/>
    </row>
    <row r="191" customFormat="false" ht="17.15" hidden="false" customHeight="false" outlineLevel="0" collapsed="false">
      <c r="A191" s="7" t="s">
        <v>373</v>
      </c>
      <c r="B191" s="74" t="n">
        <f aca="false">(B188+B189)*(1+설정!$B$14)+B187+설정!$B$16</f>
        <v>36.084030745098</v>
      </c>
      <c r="C191" s="74" t="n">
        <f aca="false">(C188+C189)*(1+설정!$B$14)+C187+설정!$B$16</f>
        <v>36.2423451607843</v>
      </c>
      <c r="D191" s="74" t="n">
        <f aca="false">(D188+D189)*(1+설정!$B$14)+D187+설정!$B$16</f>
        <v>36.5589739921569</v>
      </c>
      <c r="E191" s="74" t="n">
        <f aca="false">(E188+E189)*(1+설정!$B$14)+E187+설정!$B$16</f>
        <v>37.192231654902</v>
      </c>
      <c r="F191" s="74" t="n">
        <f aca="false">(F188+F189)*(1+설정!$B$14)+F187+설정!$B$16</f>
        <v>38.4587469803922</v>
      </c>
      <c r="G191" s="74" t="n">
        <f aca="false">(G188+G189)*(1+설정!$B$14)+G187+설정!$B$16</f>
        <v>40.9917776313726</v>
      </c>
      <c r="H191" s="74" t="n">
        <f aca="false">(H188+H189)*(1+설정!$B$14)+H187+설정!$B$16</f>
        <v>46.0578389333333</v>
      </c>
      <c r="I191" s="2"/>
    </row>
    <row r="192" customFormat="false" ht="15" hidden="false" customHeight="false" outlineLevel="0" collapsed="false">
      <c r="A192" s="16" t="s">
        <v>15</v>
      </c>
      <c r="B192" s="71" t="n">
        <f aca="false">1000/B191</f>
        <v>27.7130902327437</v>
      </c>
      <c r="C192" s="71" t="n">
        <f aca="false">1000/C191</f>
        <v>27.5920334504744</v>
      </c>
      <c r="D192" s="71" t="n">
        <f aca="false">1000/D191</f>
        <v>27.3530652204445</v>
      </c>
      <c r="E192" s="71" t="n">
        <f aca="false">1000/E191</f>
        <v>26.887335217708</v>
      </c>
      <c r="F192" s="71" t="n">
        <f aca="false">1000/F191</f>
        <v>26.0018871782235</v>
      </c>
      <c r="G192" s="71" t="n">
        <f aca="false">1000/G191</f>
        <v>24.3951362390945</v>
      </c>
      <c r="H192" s="71" t="n">
        <f aca="false">1000/H191</f>
        <v>21.711830671158</v>
      </c>
      <c r="I192" s="2"/>
    </row>
    <row r="193" customFormat="false" ht="17.15" hidden="false" customHeight="false" outlineLevel="0" collapsed="false">
      <c r="A193" s="33" t="s">
        <v>374</v>
      </c>
      <c r="B193" s="72" t="n">
        <f aca="false">B187/B191</f>
        <v>0</v>
      </c>
      <c r="C193" s="72" t="n">
        <f aca="false">C187/C191</f>
        <v>0</v>
      </c>
      <c r="D193" s="72" t="n">
        <f aca="false">D187/D191</f>
        <v>0</v>
      </c>
      <c r="E193" s="72" t="n">
        <f aca="false">E187/E191</f>
        <v>0</v>
      </c>
      <c r="F193" s="72" t="n">
        <f aca="false">F187/F191</f>
        <v>0</v>
      </c>
      <c r="G193" s="72" t="n">
        <f aca="false">G187/G191</f>
        <v>0</v>
      </c>
      <c r="H193" s="72" t="n">
        <f aca="false">H187/H191</f>
        <v>0</v>
      </c>
      <c r="I193" s="2"/>
    </row>
    <row r="194" customFormat="false" ht="17.15" hidden="false" customHeight="false" outlineLevel="0" collapsed="false">
      <c r="A194" s="33" t="s">
        <v>375</v>
      </c>
      <c r="B194" s="72" t="n">
        <f aca="false">B186*(1+설정!$B$14)/B191</f>
        <v>0</v>
      </c>
      <c r="C194" s="72" t="n">
        <f aca="false">C186*(1+설정!$B$14)/C191</f>
        <v>0</v>
      </c>
      <c r="D194" s="72" t="n">
        <f aca="false">D186*(1+설정!$B$14)/D191</f>
        <v>0</v>
      </c>
      <c r="E194" s="72" t="n">
        <f aca="false">E186*(1+설정!$B$14)/E191</f>
        <v>0</v>
      </c>
      <c r="F194" s="72" t="n">
        <f aca="false">F186*(1+설정!$B$14)/F191</f>
        <v>0</v>
      </c>
      <c r="G194" s="72" t="n">
        <f aca="false">G186*(1+설정!$B$14)/G191</f>
        <v>0</v>
      </c>
      <c r="H194" s="72" t="n">
        <f aca="false">H186*(1+설정!$B$14)/H191</f>
        <v>0</v>
      </c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7.15" hidden="false" customHeight="false" outlineLevel="0" collapsed="false">
      <c r="A196" s="28" t="s">
        <v>376</v>
      </c>
      <c r="B196" s="29"/>
      <c r="C196" s="29"/>
      <c r="D196" s="29"/>
      <c r="E196" s="29"/>
      <c r="F196" s="29"/>
      <c r="G196" s="29"/>
      <c r="H196" s="29"/>
      <c r="I196" s="29"/>
    </row>
    <row r="197" customFormat="false" ht="15" hidden="false" customHeight="false" outlineLevel="0" collapsed="false">
      <c r="A197" s="7" t="s">
        <v>377</v>
      </c>
      <c r="B197" s="73" t="n">
        <f aca="false">설정!$B$54+설정!$B$51/2</f>
        <v>256</v>
      </c>
      <c r="C197" s="73" t="n">
        <f aca="false">설정!$C$54+설정!$B$51/2</f>
        <v>384</v>
      </c>
      <c r="D197" s="73" t="n">
        <f aca="false">설정!$D$54+설정!$B$51/2</f>
        <v>640</v>
      </c>
      <c r="E197" s="73" t="n">
        <f aca="false">설정!$E$54+설정!$B$51/2</f>
        <v>1152</v>
      </c>
      <c r="F197" s="73" t="n">
        <f aca="false">설정!$F$54+설정!$B$51/2</f>
        <v>2176</v>
      </c>
      <c r="G197" s="73" t="n">
        <f aca="false">설정!$G$54+설정!$B$51/2</f>
        <v>4224</v>
      </c>
      <c r="H197" s="73" t="n">
        <f aca="false">설정!$H$54+설정!$B$51/2</f>
        <v>8320</v>
      </c>
      <c r="I197" s="2"/>
    </row>
    <row r="198" customFormat="false" ht="17.15" hidden="false" customHeight="false" outlineLevel="0" collapsed="false">
      <c r="A198" s="30" t="s">
        <v>378</v>
      </c>
      <c r="B198" s="68" t="n">
        <f aca="false">MAX(모델!$F$12*4*모델!$F$13*모델!$F$15*B197/설정!$B$68,모델!$F$12*(B197*2*모델!$F$14*모델!$F$15*설정!$B$58+2*모델!$F$13*모델!$F$15*설정!$B$57)/설정!$B$60)*1000</f>
        <v>0.291217568627451</v>
      </c>
      <c r="C198" s="68" t="n">
        <f aca="false">MAX(모델!$F$12*4*모델!$F$13*모델!$F$15*C197/설정!$B$68,모델!$F$12*(C197*2*모델!$F$14*모델!$F$15*설정!$B$58+2*모델!$F$13*모델!$F$15*설정!$B$57)/설정!$B$60)*1000</f>
        <v>0.435139764705882</v>
      </c>
      <c r="D198" s="68" t="n">
        <f aca="false">MAX(모델!$F$12*4*모델!$F$13*모델!$F$15*D197/설정!$B$68,모델!$F$12*(D197*2*모델!$F$14*모델!$F$15*설정!$B$58+2*모델!$F$13*모델!$F$15*설정!$B$57)/설정!$B$60)*1000</f>
        <v>0.722984156862745</v>
      </c>
      <c r="E198" s="68" t="n">
        <f aca="false">MAX(모델!$F$12*4*모델!$F$13*모델!$F$15*E197/설정!$B$68,모델!$F$12*(E197*2*모델!$F$14*모델!$F$15*설정!$B$58+2*모델!$F$13*모델!$F$15*설정!$B$57)/설정!$B$60)*1000</f>
        <v>1.29867294117647</v>
      </c>
      <c r="F198" s="68" t="n">
        <f aca="false">MAX(모델!$F$12*4*모델!$F$13*모델!$F$15*F197/설정!$B$68,모델!$F$12*(F197*2*모델!$F$14*모델!$F$15*설정!$B$58+2*모델!$F$13*모델!$F$15*설정!$B$57)/설정!$B$60)*1000</f>
        <v>2.45005050980392</v>
      </c>
      <c r="G198" s="68" t="n">
        <f aca="false">MAX(모델!$F$12*4*모델!$F$13*모델!$F$15*G197/설정!$B$68,모델!$F$12*(G197*2*모델!$F$14*모델!$F$15*설정!$B$58+2*모델!$F$13*모델!$F$15*설정!$B$57)/설정!$B$60)*1000</f>
        <v>4.75280564705882</v>
      </c>
      <c r="H198" s="68" t="n">
        <f aca="false">MAX(모델!$F$12*4*모델!$F$13*모델!$F$15*H197/설정!$B$68,모델!$F$12*(H197*2*모델!$F$14*모델!$F$15*설정!$B$58+2*모델!$F$13*모델!$F$15*설정!$B$57)/설정!$B$60)*1000</f>
        <v>9.35831592156863</v>
      </c>
      <c r="I198" s="2"/>
    </row>
    <row r="199" customFormat="false" ht="17.15" hidden="false" customHeight="false" outlineLevel="0" collapsed="false">
      <c r="A199" s="30" t="s">
        <v>379</v>
      </c>
      <c r="B199" s="68" t="n">
        <f aca="false">MAX(모델!$F$19*4*모델!$F$21*모델!$F$23*MIN(B197,모델!$F$20)/설정!$B$68,모델!$F$19*(MIN(B197,모델!$F$20)*2*모델!$F$22*모델!$F$23*설정!$B$58+2*모델!$F$21*모델!$F$23*설정!$B$57)/설정!$B$60)*1000</f>
        <v>0</v>
      </c>
      <c r="C199" s="68" t="n">
        <f aca="false">MAX(모델!$F$19*4*모델!$F$21*모델!$F$23*MIN(C197,모델!$F$20)/설정!$B$68,모델!$F$19*(MIN(C197,모델!$F$20)*2*모델!$F$22*모델!$F$23*설정!$B$58+2*모델!$F$21*모델!$F$23*설정!$B$57)/설정!$B$60)*1000</f>
        <v>0</v>
      </c>
      <c r="D199" s="68" t="n">
        <f aca="false">MAX(모델!$F$19*4*모델!$F$21*모델!$F$23*MIN(D197,모델!$F$20)/설정!$B$68,모델!$F$19*(MIN(D197,모델!$F$20)*2*모델!$F$22*모델!$F$23*설정!$B$58+2*모델!$F$21*모델!$F$23*설정!$B$57)/설정!$B$60)*1000</f>
        <v>0</v>
      </c>
      <c r="E199" s="68" t="n">
        <f aca="false">MAX(모델!$F$19*4*모델!$F$21*모델!$F$23*MIN(E197,모델!$F$20)/설정!$B$68,모델!$F$19*(MIN(E197,모델!$F$20)*2*모델!$F$22*모델!$F$23*설정!$B$58+2*모델!$F$21*모델!$F$23*설정!$B$57)/설정!$B$60)*1000</f>
        <v>0</v>
      </c>
      <c r="F199" s="68" t="n">
        <f aca="false">MAX(모델!$F$19*4*모델!$F$21*모델!$F$23*MIN(F197,모델!$F$20)/설정!$B$68,모델!$F$19*(MIN(F197,모델!$F$20)*2*모델!$F$22*모델!$F$23*설정!$B$58+2*모델!$F$21*모델!$F$23*설정!$B$57)/설정!$B$60)*1000</f>
        <v>0</v>
      </c>
      <c r="G199" s="68" t="n">
        <f aca="false">MAX(모델!$F$19*4*모델!$F$21*모델!$F$23*MIN(G197,모델!$F$20)/설정!$B$68,모델!$F$19*(MIN(G197,모델!$F$20)*2*모델!$F$22*모델!$F$23*설정!$B$58+2*모델!$F$21*모델!$F$23*설정!$B$57)/설정!$B$60)*1000</f>
        <v>0</v>
      </c>
      <c r="H199" s="68" t="n">
        <f aca="false">MAX(모델!$F$19*4*모델!$F$21*모델!$F$23*MIN(H197,모델!$F$20)/설정!$B$68,모델!$F$19*(MIN(H197,모델!$F$20)*2*모델!$F$22*모델!$F$23*설정!$B$58+2*모델!$F$21*모델!$F$23*설정!$B$57)/설정!$B$60)*1000</f>
        <v>0</v>
      </c>
      <c r="I199" s="2"/>
    </row>
    <row r="200" customFormat="false" ht="17.15" hidden="false" customHeight="false" outlineLevel="0" collapsed="false">
      <c r="A200" s="33" t="s">
        <v>380</v>
      </c>
      <c r="B200" s="75" t="n">
        <f aca="false">(B188+B198+B199+B186)*(1+설정!$B$14)+B187+설정!$B$16</f>
        <v>36.084030745098</v>
      </c>
      <c r="C200" s="75" t="n">
        <f aca="false">(C188+C198+C199+C186)*(1+설정!$B$14)+C187+설정!$B$16</f>
        <v>36.2423451607843</v>
      </c>
      <c r="D200" s="75" t="n">
        <f aca="false">(D188+D198+D199+D186)*(1+설정!$B$14)+D187+설정!$B$16</f>
        <v>36.5589739921569</v>
      </c>
      <c r="E200" s="75" t="n">
        <f aca="false">(E188+E198+E199+E186)*(1+설정!$B$14)+E187+설정!$B$16</f>
        <v>37.192231654902</v>
      </c>
      <c r="F200" s="75" t="n">
        <f aca="false">(F188+F198+F199+F186)*(1+설정!$B$14)+F187+설정!$B$16</f>
        <v>38.4587469803922</v>
      </c>
      <c r="G200" s="75" t="n">
        <f aca="false">(G188+G198+G199+G186)*(1+설정!$B$14)+G187+설정!$B$16</f>
        <v>40.9917776313726</v>
      </c>
      <c r="H200" s="75" t="n">
        <f aca="false">(H188+H198+H199+H186)*(1+설정!$B$14)+H187+설정!$B$16</f>
        <v>46.0578389333333</v>
      </c>
      <c r="I200" s="2"/>
    </row>
    <row r="201" customFormat="false" ht="17.15" hidden="false" customHeight="false" outlineLevel="0" collapsed="false">
      <c r="A201" s="7" t="s">
        <v>381</v>
      </c>
      <c r="B201" s="74" t="n">
        <f aca="false">(B111+MAX(0,설정!$B$51-1)*B200)/1000</f>
        <v>9.24198734506667</v>
      </c>
      <c r="C201" s="74" t="n">
        <f aca="false">(C111+MAX(0,설정!$B$51-1)*C200)/1000</f>
        <v>9.31447065040213</v>
      </c>
      <c r="D201" s="74" t="n">
        <f aca="false">(D111+MAX(0,설정!$B$51-1)*D200)/1000</f>
        <v>9.46174105245014</v>
      </c>
      <c r="E201" s="74" t="n">
        <f aca="false">(E111+MAX(0,설정!$B$51-1)*E200)/1000</f>
        <v>9.76124960459595</v>
      </c>
      <c r="F201" s="74" t="n">
        <f aca="false">(F111+MAX(0,설정!$B$51-1)*F200)/1000</f>
        <v>10.3735925081992</v>
      </c>
      <c r="G201" s="74" t="n">
        <f aca="false">(G111+MAX(0,설정!$B$51-1)*G200)/1000</f>
        <v>11.6478851876744</v>
      </c>
      <c r="H201" s="74" t="n">
        <f aca="false">(H111+MAX(0,설정!$B$51-1)*H200)/1000</f>
        <v>14.3948980357</v>
      </c>
      <c r="I201" s="32" t="s">
        <v>382</v>
      </c>
    </row>
    <row r="202" customFormat="false" ht="17.15" hidden="false" customHeight="false" outlineLevel="0" collapsed="false">
      <c r="A202" s="33" t="s">
        <v>383</v>
      </c>
      <c r="B202" s="66" t="n">
        <f aca="false">설정!$B$51/B201</f>
        <v>27.6996700430078</v>
      </c>
      <c r="C202" s="66" t="n">
        <f aca="false">설정!$B$51/C201</f>
        <v>27.4841168766738</v>
      </c>
      <c r="D202" s="66" t="n">
        <f aca="false">설정!$B$51/D201</f>
        <v>27.056331237654</v>
      </c>
      <c r="E202" s="66" t="n">
        <f aca="false">설정!$B$51/E201</f>
        <v>26.2261503772494</v>
      </c>
      <c r="F202" s="66" t="n">
        <f aca="false">설정!$B$51/F201</f>
        <v>24.6780466649004</v>
      </c>
      <c r="G202" s="66" t="n">
        <f aca="false">설정!$B$51/G201</f>
        <v>21.9782386137267</v>
      </c>
      <c r="H202" s="66" t="n">
        <f aca="false">설정!$B$51/H201</f>
        <v>17.7840787315832</v>
      </c>
      <c r="I202" s="2"/>
    </row>
    <row r="203" customFormat="false" ht="17.15" hidden="false" customHeight="false" outlineLevel="0" collapsed="false">
      <c r="A203" s="33" t="s">
        <v>384</v>
      </c>
      <c r="B203" s="72" t="n">
        <f aca="false">B111/1000/B201</f>
        <v>0.00438861291974363</v>
      </c>
      <c r="C203" s="72" t="n">
        <f aca="false">C111/1000/C201</f>
        <v>0.00780212178767194</v>
      </c>
      <c r="D203" s="72" t="n">
        <f aca="false">D111/1000/D201</f>
        <v>0.0147121638267712</v>
      </c>
      <c r="E203" s="72" t="n">
        <f aca="false">E111/1000/E201</f>
        <v>0.0284011313946344</v>
      </c>
      <c r="F203" s="72" t="n">
        <f aca="false">F111/1000/F201</f>
        <v>0.054620617471846</v>
      </c>
      <c r="G203" s="72" t="n">
        <f aca="false">G111/1000/G201</f>
        <v>0.10259217638399</v>
      </c>
      <c r="H203" s="72" t="n">
        <f aca="false">H111/1000/H201</f>
        <v>0.184103360866292</v>
      </c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7.15" hidden="false" customHeight="false" outlineLevel="0" collapsed="false">
      <c r="A205" s="40" t="s">
        <v>385</v>
      </c>
      <c r="B205" s="29"/>
      <c r="C205" s="29"/>
      <c r="D205" s="29"/>
      <c r="E205" s="29"/>
      <c r="F205" s="29"/>
      <c r="G205" s="29"/>
      <c r="H205" s="29"/>
      <c r="I205" s="29"/>
    </row>
    <row r="206" customFormat="false" ht="15" hidden="false" customHeight="false" outlineLevel="0" collapsed="false">
      <c r="A206" s="7" t="s">
        <v>386</v>
      </c>
      <c r="B206" s="73" t="n">
        <f aca="false">설정!$B$54+설정!$B$51</f>
        <v>384</v>
      </c>
      <c r="C206" s="73" t="n">
        <f aca="false">설정!$C$54+설정!$B$51</f>
        <v>512</v>
      </c>
      <c r="D206" s="73" t="n">
        <f aca="false">설정!$D$54+설정!$B$51</f>
        <v>768</v>
      </c>
      <c r="E206" s="73" t="n">
        <f aca="false">설정!$E$54+설정!$B$51</f>
        <v>1280</v>
      </c>
      <c r="F206" s="73" t="n">
        <f aca="false">설정!$F$54+설정!$B$51</f>
        <v>2304</v>
      </c>
      <c r="G206" s="73" t="n">
        <f aca="false">설정!$G$54+설정!$B$51</f>
        <v>4352</v>
      </c>
      <c r="H206" s="73" t="n">
        <f aca="false">설정!$H$54+설정!$B$51</f>
        <v>8448</v>
      </c>
      <c r="I206" s="2"/>
    </row>
    <row r="207" customFormat="false" ht="17.15" hidden="false" customHeight="false" outlineLevel="0" collapsed="false">
      <c r="A207" s="33" t="s">
        <v>387</v>
      </c>
      <c r="B207" s="64" t="n">
        <f aca="false">모델!$F$61*1000000000/1073741824</f>
        <v>1.54272079467773</v>
      </c>
      <c r="C207" s="64" t="n">
        <f aca="false">모델!$F$61*1000000000/1073741824</f>
        <v>1.54272079467773</v>
      </c>
      <c r="D207" s="64" t="n">
        <f aca="false">모델!$F$61*1000000000/1073741824</f>
        <v>1.54272079467773</v>
      </c>
      <c r="E207" s="64" t="n">
        <f aca="false">모델!$F$61*1000000000/1073741824</f>
        <v>1.54272079467773</v>
      </c>
      <c r="F207" s="64" t="n">
        <f aca="false">모델!$F$61*1000000000/1073741824</f>
        <v>1.54272079467773</v>
      </c>
      <c r="G207" s="64" t="n">
        <f aca="false">모델!$F$61*1000000000/1073741824</f>
        <v>1.54272079467773</v>
      </c>
      <c r="H207" s="64" t="n">
        <f aca="false">모델!$F$61*1000000000/1073741824</f>
        <v>1.54272079467773</v>
      </c>
      <c r="I207" s="2"/>
    </row>
    <row r="208" customFormat="false" ht="15" hidden="false" customHeight="false" outlineLevel="0" collapsed="false">
      <c r="A208" s="30" t="s">
        <v>388</v>
      </c>
      <c r="B208" s="68" t="n">
        <f aca="false">(모델!$F$12*2*모델!$F$14*모델!$F$15*설정!$B$58*B206+모델!$F$19*2*모델!$F$22*모델!$F$23*설정!$B$58*MIN(B206,모델!$F$20)+모델!$F$26*(모델!$F$29*모델!$F$28*모델!$F$30*설정!$B$59+MAX(0,모델!$F$31-1)*모델!$F$52*설정!$B$57))/1073741824</f>
        <v>0.0205078125</v>
      </c>
      <c r="C208" s="68" t="n">
        <f aca="false">(모델!$F$12*2*모델!$F$14*모델!$F$15*설정!$B$58*C206+모델!$F$19*2*모델!$F$22*모델!$F$23*설정!$B$58*MIN(C206,모델!$F$20)+모델!$F$26*(모델!$F$29*모델!$F$28*모델!$F$30*설정!$B$59+MAX(0,모델!$F$31-1)*모델!$F$52*설정!$B$57))/1073741824</f>
        <v>0.02734375</v>
      </c>
      <c r="D208" s="68" t="n">
        <f aca="false">(모델!$F$12*2*모델!$F$14*모델!$F$15*설정!$B$58*D206+모델!$F$19*2*모델!$F$22*모델!$F$23*설정!$B$58*MIN(D206,모델!$F$20)+모델!$F$26*(모델!$F$29*모델!$F$28*모델!$F$30*설정!$B$59+MAX(0,모델!$F$31-1)*모델!$F$52*설정!$B$57))/1073741824</f>
        <v>0.041015625</v>
      </c>
      <c r="E208" s="68" t="n">
        <f aca="false">(모델!$F$12*2*모델!$F$14*모델!$F$15*설정!$B$58*E206+모델!$F$19*2*모델!$F$22*모델!$F$23*설정!$B$58*MIN(E206,모델!$F$20)+모델!$F$26*(모델!$F$29*모델!$F$28*모델!$F$30*설정!$B$59+MAX(0,모델!$F$31-1)*모델!$F$52*설정!$B$57))/1073741824</f>
        <v>0.068359375</v>
      </c>
      <c r="F208" s="68" t="n">
        <f aca="false">(모델!$F$12*2*모델!$F$14*모델!$F$15*설정!$B$58*F206+모델!$F$19*2*모델!$F$22*모델!$F$23*설정!$B$58*MIN(F206,모델!$F$20)+모델!$F$26*(모델!$F$29*모델!$F$28*모델!$F$30*설정!$B$59+MAX(0,모델!$F$31-1)*모델!$F$52*설정!$B$57))/1073741824</f>
        <v>0.123046875</v>
      </c>
      <c r="G208" s="68" t="n">
        <f aca="false">(모델!$F$12*2*모델!$F$14*모델!$F$15*설정!$B$58*G206+모델!$F$19*2*모델!$F$22*모델!$F$23*설정!$B$58*MIN(G206,모델!$F$20)+모델!$F$26*(모델!$F$29*모델!$F$28*모델!$F$30*설정!$B$59+MAX(0,모델!$F$31-1)*모델!$F$52*설정!$B$57))/1073741824</f>
        <v>0.232421875</v>
      </c>
      <c r="H208" s="68" t="n">
        <f aca="false">(모델!$F$12*2*모델!$F$14*모델!$F$15*설정!$B$58*H206+모델!$F$19*2*모델!$F$22*모델!$F$23*설정!$B$58*MIN(H206,모델!$F$20)+모델!$F$26*(모델!$F$29*모델!$F$28*모델!$F$30*설정!$B$59+MAX(0,모델!$F$31-1)*모델!$F$52*설정!$B$57))/1073741824</f>
        <v>0.451171875</v>
      </c>
      <c r="I208" s="2"/>
    </row>
    <row r="209" customFormat="false" ht="17.15" hidden="false" customHeight="false" outlineLevel="0" collapsed="false">
      <c r="A209" s="33" t="s">
        <v>389</v>
      </c>
      <c r="B209" s="64" t="n">
        <f aca="false">설정!$B$13</f>
        <v>0.5</v>
      </c>
      <c r="C209" s="64" t="n">
        <f aca="false">설정!$B$13</f>
        <v>0.5</v>
      </c>
      <c r="D209" s="64" t="n">
        <f aca="false">설정!$B$13</f>
        <v>0.5</v>
      </c>
      <c r="E209" s="64" t="n">
        <f aca="false">설정!$B$13</f>
        <v>0.5</v>
      </c>
      <c r="F209" s="64" t="n">
        <f aca="false">설정!$B$13</f>
        <v>0.5</v>
      </c>
      <c r="G209" s="64" t="n">
        <f aca="false">설정!$B$13</f>
        <v>0.5</v>
      </c>
      <c r="H209" s="64" t="n">
        <f aca="false">설정!$B$13</f>
        <v>0.5</v>
      </c>
      <c r="I209" s="2"/>
    </row>
    <row r="210" customFormat="false" ht="17.15" hidden="false" customHeight="false" outlineLevel="0" collapsed="false">
      <c r="A210" s="7" t="s">
        <v>390</v>
      </c>
      <c r="B210" s="76" t="n">
        <f aca="false">B207+B208+B209</f>
        <v>2.06322860717773</v>
      </c>
      <c r="C210" s="76" t="n">
        <f aca="false">C207+C208+C209</f>
        <v>2.07006454467773</v>
      </c>
      <c r="D210" s="76" t="n">
        <f aca="false">D207+D208+D209</f>
        <v>2.08373641967773</v>
      </c>
      <c r="E210" s="76" t="n">
        <f aca="false">E207+E208+E209</f>
        <v>2.11108016967773</v>
      </c>
      <c r="F210" s="76" t="n">
        <f aca="false">F207+F208+F209</f>
        <v>2.16576766967773</v>
      </c>
      <c r="G210" s="76" t="n">
        <f aca="false">G207+G208+G209</f>
        <v>2.27514266967773</v>
      </c>
      <c r="H210" s="76" t="n">
        <f aca="false">H207+H208+H209</f>
        <v>2.49389266967773</v>
      </c>
      <c r="I210" s="2"/>
    </row>
    <row r="211" customFormat="false" ht="17.15" hidden="false" customHeight="false" outlineLevel="0" collapsed="false">
      <c r="A211" s="30" t="s">
        <v>391</v>
      </c>
      <c r="B211" s="70" t="str">
        <f aca="false">IF(B210&lt;=설정!$B$62,"OK +"&amp;TEXT(설정!$B$62-B210,"0.0"),"초과 -"&amp;TEXT(B210-설정!$B$62,"0.0"))</f>
        <v>OK +10.9</v>
      </c>
      <c r="C211" s="70" t="str">
        <f aca="false">IF(C210&lt;=설정!$B$62,"OK +"&amp;TEXT(설정!$B$62-C210,"0.0"),"초과 -"&amp;TEXT(C210-설정!$B$62,"0.0"))</f>
        <v>OK +10.9</v>
      </c>
      <c r="D211" s="70" t="str">
        <f aca="false">IF(D210&lt;=설정!$B$62,"OK +"&amp;TEXT(설정!$B$62-D210,"0.0"),"초과 -"&amp;TEXT(D210-설정!$B$62,"0.0"))</f>
        <v>OK +10.9</v>
      </c>
      <c r="E211" s="70" t="str">
        <f aca="false">IF(E210&lt;=설정!$B$62,"OK +"&amp;TEXT(설정!$B$62-E210,"0.0"),"초과 -"&amp;TEXT(E210-설정!$B$62,"0.0"))</f>
        <v>OK +10.9</v>
      </c>
      <c r="F211" s="70" t="str">
        <f aca="false">IF(F210&lt;=설정!$B$62,"OK +"&amp;TEXT(설정!$B$62-F210,"0.0"),"초과 -"&amp;TEXT(F210-설정!$B$62,"0.0"))</f>
        <v>OK +10.8</v>
      </c>
      <c r="G211" s="70" t="str">
        <f aca="false">IF(G210&lt;=설정!$B$62,"OK +"&amp;TEXT(설정!$B$62-G210,"0.0"),"초과 -"&amp;TEXT(G210-설정!$B$62,"0.0"))</f>
        <v>OK +10.7</v>
      </c>
      <c r="H211" s="70" t="str">
        <f aca="false">IF(H210&lt;=설정!$B$62,"OK +"&amp;TEXT(설정!$B$62-H210,"0.0"),"초과 -"&amp;TEXT(H210-설정!$B$62,"0.0"))</f>
        <v>OK +10.5</v>
      </c>
      <c r="I2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15" hidden="false" customHeight="false" outlineLevel="0" collapsed="false">
      <c r="A1" s="77" t="s">
        <v>392</v>
      </c>
    </row>
    <row r="2" customFormat="false" ht="17.15" hidden="false" customHeight="false" outlineLevel="0" collapsed="false">
      <c r="A2" s="78" t="s">
        <v>393</v>
      </c>
    </row>
    <row r="3" customFormat="false" ht="32.8" hidden="false" customHeight="false" outlineLevel="0" collapsed="false">
      <c r="A3" s="78" t="s">
        <v>394</v>
      </c>
    </row>
    <row r="4" customFormat="false" ht="17.15" hidden="false" customHeight="false" outlineLevel="0" collapsed="false">
      <c r="A4" s="78" t="s">
        <v>395</v>
      </c>
    </row>
    <row r="5" customFormat="false" ht="15" hidden="false" customHeight="false" outlineLevel="0" collapsed="false">
      <c r="A5" s="78"/>
    </row>
    <row r="6" customFormat="false" ht="17.15" hidden="false" customHeight="false" outlineLevel="0" collapsed="false">
      <c r="A6" s="77" t="s">
        <v>396</v>
      </c>
    </row>
    <row r="7" customFormat="false" ht="17.15" hidden="false" customHeight="false" outlineLevel="0" collapsed="false">
      <c r="A7" s="78" t="s">
        <v>397</v>
      </c>
    </row>
    <row r="8" customFormat="false" ht="32.8" hidden="false" customHeight="false" outlineLevel="0" collapsed="false">
      <c r="A8" s="78" t="s">
        <v>398</v>
      </c>
    </row>
    <row r="9" customFormat="false" ht="17.15" hidden="false" customHeight="false" outlineLevel="0" collapsed="false">
      <c r="A9" s="78" t="s">
        <v>399</v>
      </c>
    </row>
    <row r="10" customFormat="false" ht="17.15" hidden="false" customHeight="false" outlineLevel="0" collapsed="false">
      <c r="A10" s="78" t="s">
        <v>400</v>
      </c>
    </row>
    <row r="11" customFormat="false" ht="32.8" hidden="false" customHeight="false" outlineLevel="0" collapsed="false">
      <c r="A11" s="78" t="s">
        <v>401</v>
      </c>
    </row>
    <row r="12" customFormat="false" ht="17.15" hidden="false" customHeight="false" outlineLevel="0" collapsed="false">
      <c r="A12" s="78" t="s">
        <v>402</v>
      </c>
    </row>
    <row r="13" customFormat="false" ht="48.5" hidden="false" customHeight="false" outlineLevel="0" collapsed="false">
      <c r="A13" s="78" t="s">
        <v>403</v>
      </c>
    </row>
    <row r="14" customFormat="false" ht="15" hidden="false" customHeight="false" outlineLevel="0" collapsed="false">
      <c r="A14" s="78"/>
    </row>
    <row r="15" customFormat="false" ht="17.15" hidden="false" customHeight="false" outlineLevel="0" collapsed="false">
      <c r="A15" s="79" t="s">
        <v>404</v>
      </c>
    </row>
    <row r="16" customFormat="false" ht="17.15" hidden="false" customHeight="false" outlineLevel="0" collapsed="false">
      <c r="A16" s="78" t="s">
        <v>405</v>
      </c>
    </row>
    <row r="17" customFormat="false" ht="32.8" hidden="false" customHeight="false" outlineLevel="0" collapsed="false">
      <c r="A17" s="78" t="s">
        <v>406</v>
      </c>
    </row>
    <row r="18" customFormat="false" ht="17.15" hidden="false" customHeight="false" outlineLevel="0" collapsed="false">
      <c r="A18" s="78" t="s">
        <v>407</v>
      </c>
    </row>
    <row r="19" customFormat="false" ht="15" hidden="false" customHeight="false" outlineLevel="0" collapsed="false">
      <c r="A19" s="78"/>
    </row>
    <row r="20" customFormat="false" ht="15" hidden="false" customHeight="false" outlineLevel="0" collapsed="false">
      <c r="A20" s="79" t="s">
        <v>408</v>
      </c>
    </row>
    <row r="21" customFormat="false" ht="32.8" hidden="false" customHeight="false" outlineLevel="0" collapsed="false">
      <c r="A21" s="78" t="s">
        <v>409</v>
      </c>
    </row>
    <row r="22" customFormat="false" ht="32.8" hidden="false" customHeight="false" outlineLevel="0" collapsed="false">
      <c r="A22" s="78" t="s">
        <v>410</v>
      </c>
    </row>
    <row r="23" customFormat="false" ht="32.8" hidden="false" customHeight="false" outlineLevel="0" collapsed="false">
      <c r="A23" s="78" t="s">
        <v>411</v>
      </c>
    </row>
    <row r="24" customFormat="false" ht="32.8" hidden="false" customHeight="false" outlineLevel="0" collapsed="false">
      <c r="A24" s="78" t="s">
        <v>412</v>
      </c>
    </row>
    <row r="25" customFormat="false" ht="32.8" hidden="false" customHeight="false" outlineLevel="0" collapsed="false">
      <c r="A25" s="78" t="s">
        <v>413</v>
      </c>
    </row>
    <row r="26" customFormat="false" ht="15" hidden="false" customHeight="false" outlineLevel="0" collapsed="false">
      <c r="A26" s="78"/>
    </row>
    <row r="27" customFormat="false" ht="17.15" hidden="false" customHeight="false" outlineLevel="0" collapsed="false">
      <c r="A27" s="79" t="s">
        <v>414</v>
      </c>
    </row>
    <row r="28" customFormat="false" ht="32.8" hidden="false" customHeight="false" outlineLevel="0" collapsed="false">
      <c r="A28" s="78" t="s">
        <v>415</v>
      </c>
    </row>
    <row r="29" customFormat="false" ht="29.85" hidden="false" customHeight="false" outlineLevel="0" collapsed="false">
      <c r="A29" s="78" t="s">
        <v>416</v>
      </c>
    </row>
    <row r="30" customFormat="false" ht="15" hidden="false" customHeight="false" outlineLevel="0" collapsed="false">
      <c r="A30" s="78"/>
    </row>
    <row r="31" customFormat="false" ht="17.15" hidden="false" customHeight="false" outlineLevel="0" collapsed="false">
      <c r="A31" s="77" t="s">
        <v>417</v>
      </c>
    </row>
    <row r="32" customFormat="false" ht="32.8" hidden="false" customHeight="false" outlineLevel="0" collapsed="false">
      <c r="A32" s="78" t="s">
        <v>418</v>
      </c>
    </row>
    <row r="33" customFormat="false" ht="32.8" hidden="false" customHeight="false" outlineLevel="0" collapsed="false">
      <c r="A33" s="78" t="s">
        <v>419</v>
      </c>
    </row>
    <row r="34" customFormat="false" ht="17.15" hidden="false" customHeight="false" outlineLevel="0" collapsed="false">
      <c r="A34" s="78" t="s">
        <v>420</v>
      </c>
    </row>
    <row r="35" customFormat="false" ht="15" hidden="false" customHeight="false" outlineLevel="0" collapsed="false">
      <c r="A35" s="78"/>
    </row>
    <row r="36" customFormat="false" ht="17.15" hidden="false" customHeight="false" outlineLevel="0" collapsed="false">
      <c r="A36" s="77" t="s">
        <v>421</v>
      </c>
    </row>
    <row r="37" customFormat="false" ht="17.15" hidden="false" customHeight="false" outlineLevel="0" collapsed="false">
      <c r="A37" s="78" t="s">
        <v>422</v>
      </c>
    </row>
    <row r="38" customFormat="false" ht="17.15" hidden="false" customHeight="false" outlineLevel="0" collapsed="false">
      <c r="A38" s="78" t="s">
        <v>423</v>
      </c>
    </row>
    <row r="39" customFormat="false" ht="17.15" hidden="false" customHeight="false" outlineLevel="0" collapsed="false">
      <c r="A39" s="78" t="s">
        <v>424</v>
      </c>
    </row>
    <row r="40" customFormat="false" ht="17.15" hidden="false" customHeight="false" outlineLevel="0" collapsed="false">
      <c r="A40" s="78" t="s">
        <v>425</v>
      </c>
    </row>
    <row r="41" customFormat="false" ht="17.15" hidden="false" customHeight="false" outlineLevel="0" collapsed="false">
      <c r="A41" s="78" t="s">
        <v>426</v>
      </c>
    </row>
    <row r="42" customFormat="false" ht="15" hidden="false" customHeight="false" outlineLevel="0" collapsed="false">
      <c r="A42" s="78"/>
    </row>
    <row r="43" customFormat="false" ht="17.15" hidden="false" customHeight="false" outlineLevel="0" collapsed="false">
      <c r="A43" s="77" t="s">
        <v>427</v>
      </c>
    </row>
    <row r="44" customFormat="false" ht="17.15" hidden="false" customHeight="false" outlineLevel="0" collapsed="false">
      <c r="A44" s="80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2026-10-01T13:00:35Z</dcterms:created>
  <dc:creator>openpyxl</dc:creator>
  <dc:description/>
  <dc:language>en-US</dc:language>
  <cp:lastModifiedBy/>
  <dcterms:modified xsi:type="dcterms:W3CDTF">2026-10-01T22:00:38Z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